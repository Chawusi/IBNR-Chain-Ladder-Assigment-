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onwatambwa/Desktop/Zenix/Goldman/Dec 2025/"/>
    </mc:Choice>
  </mc:AlternateContent>
  <xr:revisionPtr revIDLastSave="0" documentId="8_{DD921514-69FE-B642-8356-259E17998F9A}" xr6:coauthVersionLast="47" xr6:coauthVersionMax="47" xr10:uidLastSave="{00000000-0000-0000-0000-000000000000}"/>
  <bookViews>
    <workbookView xWindow="4460" yWindow="3760" windowWidth="26840" windowHeight="15680" xr2:uid="{0536CAE1-657E-CF48-8D4B-ED8A38CEEE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3" i="1" l="1"/>
  <c r="K653" i="1"/>
  <c r="O652" i="1"/>
  <c r="Q652" i="1" s="1"/>
  <c r="K652" i="1"/>
  <c r="P652" i="1" s="1"/>
  <c r="O651" i="1"/>
  <c r="Q651" i="1" s="1"/>
  <c r="M651" i="1"/>
  <c r="K651" i="1"/>
  <c r="L651" i="1" s="1"/>
  <c r="O650" i="1"/>
  <c r="Q650" i="1" s="1"/>
  <c r="K650" i="1"/>
  <c r="P650" i="1" s="1"/>
  <c r="O649" i="1"/>
  <c r="K649" i="1"/>
  <c r="Q648" i="1"/>
  <c r="P648" i="1"/>
  <c r="O648" i="1"/>
  <c r="K648" i="1"/>
  <c r="M648" i="1" s="1"/>
  <c r="O647" i="1"/>
  <c r="Q647" i="1" s="1"/>
  <c r="K647" i="1"/>
  <c r="O646" i="1"/>
  <c r="Q646" i="1" s="1"/>
  <c r="M646" i="1"/>
  <c r="K646" i="1"/>
  <c r="L646" i="1" s="1"/>
  <c r="O645" i="1"/>
  <c r="K645" i="1"/>
  <c r="O644" i="1"/>
  <c r="K644" i="1"/>
  <c r="O643" i="1"/>
  <c r="K643" i="1"/>
  <c r="O642" i="1"/>
  <c r="Q642" i="1" s="1"/>
  <c r="M642" i="1"/>
  <c r="K642" i="1"/>
  <c r="L642" i="1" s="1"/>
  <c r="P641" i="1"/>
  <c r="O641" i="1"/>
  <c r="Q641" i="1" s="1"/>
  <c r="K641" i="1"/>
  <c r="L641" i="1" s="1"/>
  <c r="O640" i="1"/>
  <c r="Q640" i="1" s="1"/>
  <c r="M640" i="1"/>
  <c r="K640" i="1"/>
  <c r="P640" i="1" s="1"/>
  <c r="O639" i="1"/>
  <c r="K639" i="1"/>
  <c r="O638" i="1"/>
  <c r="K638" i="1"/>
  <c r="O637" i="1"/>
  <c r="K637" i="1"/>
  <c r="O636" i="1"/>
  <c r="K636" i="1"/>
  <c r="O635" i="1"/>
  <c r="Q635" i="1" s="1"/>
  <c r="M635" i="1"/>
  <c r="K635" i="1"/>
  <c r="P634" i="1"/>
  <c r="O634" i="1"/>
  <c r="K634" i="1"/>
  <c r="O633" i="1"/>
  <c r="K633" i="1"/>
  <c r="P632" i="1"/>
  <c r="O632" i="1"/>
  <c r="M632" i="1"/>
  <c r="L632" i="1"/>
  <c r="K632" i="1"/>
  <c r="Q632" i="1" s="1"/>
  <c r="O631" i="1"/>
  <c r="Q631" i="1" s="1"/>
  <c r="K631" i="1"/>
  <c r="O630" i="1"/>
  <c r="K630" i="1"/>
  <c r="L630" i="1" s="1"/>
  <c r="O629" i="1"/>
  <c r="Q629" i="1" s="1"/>
  <c r="K629" i="1"/>
  <c r="P628" i="1"/>
  <c r="O628" i="1"/>
  <c r="Q628" i="1" s="1"/>
  <c r="M628" i="1"/>
  <c r="L628" i="1"/>
  <c r="K628" i="1"/>
  <c r="O627" i="1"/>
  <c r="Q627" i="1" s="1"/>
  <c r="M627" i="1"/>
  <c r="K627" i="1"/>
  <c r="O626" i="1"/>
  <c r="M626" i="1"/>
  <c r="K626" i="1"/>
  <c r="O625" i="1"/>
  <c r="Q625" i="1" s="1"/>
  <c r="K625" i="1"/>
  <c r="Q624" i="1"/>
  <c r="O624" i="1"/>
  <c r="M624" i="1"/>
  <c r="K624" i="1"/>
  <c r="L624" i="1" s="1"/>
  <c r="O623" i="1"/>
  <c r="K623" i="1"/>
  <c r="P622" i="1"/>
  <c r="O622" i="1"/>
  <c r="Q622" i="1" s="1"/>
  <c r="M622" i="1"/>
  <c r="K622" i="1"/>
  <c r="L622" i="1" s="1"/>
  <c r="O621" i="1"/>
  <c r="Q621" i="1" s="1"/>
  <c r="K621" i="1"/>
  <c r="O620" i="1"/>
  <c r="K620" i="1"/>
  <c r="O619" i="1"/>
  <c r="K619" i="1"/>
  <c r="P618" i="1"/>
  <c r="O618" i="1"/>
  <c r="Q618" i="1" s="1"/>
  <c r="M618" i="1"/>
  <c r="K618" i="1"/>
  <c r="L618" i="1" s="1"/>
  <c r="O617" i="1"/>
  <c r="Q617" i="1" s="1"/>
  <c r="K617" i="1"/>
  <c r="O616" i="1"/>
  <c r="K616" i="1"/>
  <c r="P616" i="1" s="1"/>
  <c r="O615" i="1"/>
  <c r="K615" i="1"/>
  <c r="O614" i="1"/>
  <c r="M614" i="1"/>
  <c r="K614" i="1"/>
  <c r="L614" i="1" s="1"/>
  <c r="O613" i="1"/>
  <c r="K613" i="1"/>
  <c r="O612" i="1"/>
  <c r="K612" i="1"/>
  <c r="O611" i="1"/>
  <c r="K611" i="1"/>
  <c r="O610" i="1"/>
  <c r="K610" i="1"/>
  <c r="O609" i="1"/>
  <c r="K609" i="1"/>
  <c r="Q608" i="1"/>
  <c r="O608" i="1"/>
  <c r="K608" i="1"/>
  <c r="O607" i="1"/>
  <c r="Q607" i="1" s="1"/>
  <c r="K607" i="1"/>
  <c r="O606" i="1"/>
  <c r="K606" i="1"/>
  <c r="O605" i="1"/>
  <c r="K605" i="1"/>
  <c r="O604" i="1"/>
  <c r="M604" i="1"/>
  <c r="L604" i="1"/>
  <c r="K604" i="1"/>
  <c r="P604" i="1" s="1"/>
  <c r="O603" i="1"/>
  <c r="K603" i="1"/>
  <c r="O602" i="1"/>
  <c r="K602" i="1"/>
  <c r="O601" i="1"/>
  <c r="K601" i="1"/>
  <c r="O600" i="1"/>
  <c r="M600" i="1"/>
  <c r="K600" i="1"/>
  <c r="O599" i="1"/>
  <c r="Q599" i="1" s="1"/>
  <c r="M599" i="1"/>
  <c r="K599" i="1"/>
  <c r="O598" i="1"/>
  <c r="K598" i="1"/>
  <c r="O597" i="1"/>
  <c r="Q597" i="1" s="1"/>
  <c r="K597" i="1"/>
  <c r="P596" i="1"/>
  <c r="O596" i="1"/>
  <c r="M596" i="1"/>
  <c r="L596" i="1"/>
  <c r="K596" i="1"/>
  <c r="Q596" i="1" s="1"/>
  <c r="O595" i="1"/>
  <c r="Q595" i="1" s="1"/>
  <c r="K595" i="1"/>
  <c r="O594" i="1"/>
  <c r="Q594" i="1" s="1"/>
  <c r="M594" i="1"/>
  <c r="K594" i="1"/>
  <c r="L594" i="1" s="1"/>
  <c r="O593" i="1"/>
  <c r="Q593" i="1" s="1"/>
  <c r="K593" i="1"/>
  <c r="O592" i="1"/>
  <c r="Q592" i="1" s="1"/>
  <c r="M592" i="1"/>
  <c r="L592" i="1"/>
  <c r="K592" i="1"/>
  <c r="O591" i="1"/>
  <c r="M591" i="1"/>
  <c r="K591" i="1"/>
  <c r="O590" i="1"/>
  <c r="M590" i="1"/>
  <c r="L590" i="1"/>
  <c r="K590" i="1"/>
  <c r="P590" i="1" s="1"/>
  <c r="O589" i="1"/>
  <c r="K589" i="1"/>
  <c r="O588" i="1"/>
  <c r="M588" i="1"/>
  <c r="K588" i="1"/>
  <c r="L588" i="1" s="1"/>
  <c r="O587" i="1"/>
  <c r="K587" i="1"/>
  <c r="P586" i="1"/>
  <c r="O586" i="1"/>
  <c r="Q586" i="1" s="1"/>
  <c r="M586" i="1"/>
  <c r="K586" i="1"/>
  <c r="L586" i="1" s="1"/>
  <c r="O585" i="1"/>
  <c r="M585" i="1"/>
  <c r="K585" i="1"/>
  <c r="O584" i="1"/>
  <c r="K584" i="1"/>
  <c r="O583" i="1"/>
  <c r="K583" i="1"/>
  <c r="O582" i="1"/>
  <c r="Q582" i="1" s="1"/>
  <c r="K582" i="1"/>
  <c r="L582" i="1" s="1"/>
  <c r="O581" i="1"/>
  <c r="K581" i="1"/>
  <c r="P580" i="1"/>
  <c r="O580" i="1"/>
  <c r="Q580" i="1" s="1"/>
  <c r="L580" i="1"/>
  <c r="K580" i="1"/>
  <c r="M580" i="1" s="1"/>
  <c r="O579" i="1"/>
  <c r="M579" i="1"/>
  <c r="K579" i="1"/>
  <c r="O578" i="1"/>
  <c r="K578" i="1"/>
  <c r="P577" i="1"/>
  <c r="O577" i="1"/>
  <c r="K577" i="1"/>
  <c r="O576" i="1"/>
  <c r="K576" i="1"/>
  <c r="O575" i="1"/>
  <c r="K575" i="1"/>
  <c r="P574" i="1"/>
  <c r="O574" i="1"/>
  <c r="M574" i="1"/>
  <c r="K574" i="1"/>
  <c r="L574" i="1" s="1"/>
  <c r="O573" i="1"/>
  <c r="M573" i="1"/>
  <c r="K573" i="1"/>
  <c r="O572" i="1"/>
  <c r="K572" i="1"/>
  <c r="P572" i="1" s="1"/>
  <c r="O571" i="1"/>
  <c r="K571" i="1"/>
  <c r="O570" i="1"/>
  <c r="K570" i="1"/>
  <c r="O569" i="1"/>
  <c r="Q569" i="1" s="1"/>
  <c r="K569" i="1"/>
  <c r="P568" i="1"/>
  <c r="O568" i="1"/>
  <c r="Q568" i="1" s="1"/>
  <c r="L568" i="1"/>
  <c r="K568" i="1"/>
  <c r="M568" i="1" s="1"/>
  <c r="O567" i="1"/>
  <c r="M567" i="1"/>
  <c r="K567" i="1"/>
  <c r="O566" i="1"/>
  <c r="L566" i="1"/>
  <c r="K566" i="1"/>
  <c r="P566" i="1" s="1"/>
  <c r="O565" i="1"/>
  <c r="K565" i="1"/>
  <c r="O564" i="1"/>
  <c r="K564" i="1"/>
  <c r="O563" i="1"/>
  <c r="K563" i="1"/>
  <c r="P562" i="1"/>
  <c r="O562" i="1"/>
  <c r="M562" i="1"/>
  <c r="K562" i="1"/>
  <c r="L562" i="1" s="1"/>
  <c r="O561" i="1"/>
  <c r="M561" i="1"/>
  <c r="K561" i="1"/>
  <c r="O560" i="1"/>
  <c r="K560" i="1"/>
  <c r="O559" i="1"/>
  <c r="K559" i="1"/>
  <c r="O558" i="1"/>
  <c r="K558" i="1"/>
  <c r="O557" i="1"/>
  <c r="Q557" i="1" s="1"/>
  <c r="K557" i="1"/>
  <c r="P556" i="1"/>
  <c r="O556" i="1"/>
  <c r="Q556" i="1" s="1"/>
  <c r="L556" i="1"/>
  <c r="K556" i="1"/>
  <c r="M556" i="1" s="1"/>
  <c r="O555" i="1"/>
  <c r="M555" i="1"/>
  <c r="K555" i="1"/>
  <c r="P554" i="1"/>
  <c r="O554" i="1"/>
  <c r="M554" i="1"/>
  <c r="L554" i="1"/>
  <c r="K554" i="1"/>
  <c r="P553" i="1"/>
  <c r="O553" i="1"/>
  <c r="K553" i="1"/>
  <c r="O552" i="1"/>
  <c r="K552" i="1"/>
  <c r="O551" i="1"/>
  <c r="K551" i="1"/>
  <c r="P550" i="1"/>
  <c r="O550" i="1"/>
  <c r="K550" i="1"/>
  <c r="L550" i="1" s="1"/>
  <c r="O549" i="1"/>
  <c r="M549" i="1"/>
  <c r="K549" i="1"/>
  <c r="O548" i="1"/>
  <c r="K548" i="1"/>
  <c r="O547" i="1"/>
  <c r="K547" i="1"/>
  <c r="O546" i="1"/>
  <c r="Q546" i="1" s="1"/>
  <c r="K546" i="1"/>
  <c r="O545" i="1"/>
  <c r="K545" i="1"/>
  <c r="O544" i="1"/>
  <c r="Q544" i="1" s="1"/>
  <c r="K544" i="1"/>
  <c r="O543" i="1"/>
  <c r="M543" i="1"/>
  <c r="K543" i="1"/>
  <c r="O542" i="1"/>
  <c r="K542" i="1"/>
  <c r="P542" i="1" s="1"/>
  <c r="P541" i="1"/>
  <c r="O541" i="1"/>
  <c r="K541" i="1"/>
  <c r="O540" i="1"/>
  <c r="K540" i="1"/>
  <c r="O539" i="1"/>
  <c r="K539" i="1"/>
  <c r="O538" i="1"/>
  <c r="K538" i="1"/>
  <c r="L538" i="1" s="1"/>
  <c r="O537" i="1"/>
  <c r="M537" i="1"/>
  <c r="K537" i="1"/>
  <c r="Q536" i="1"/>
  <c r="O536" i="1"/>
  <c r="K536" i="1"/>
  <c r="P536" i="1" s="1"/>
  <c r="O535" i="1"/>
  <c r="K535" i="1"/>
  <c r="O534" i="1"/>
  <c r="Q534" i="1" s="1"/>
  <c r="M534" i="1"/>
  <c r="K534" i="1"/>
  <c r="O533" i="1"/>
  <c r="K533" i="1"/>
  <c r="P532" i="1"/>
  <c r="O532" i="1"/>
  <c r="K532" i="1"/>
  <c r="M532" i="1" s="1"/>
  <c r="O531" i="1"/>
  <c r="K531" i="1"/>
  <c r="O530" i="1"/>
  <c r="K530" i="1"/>
  <c r="P529" i="1"/>
  <c r="O529" i="1"/>
  <c r="K529" i="1"/>
  <c r="Q528" i="1"/>
  <c r="O528" i="1"/>
  <c r="K528" i="1"/>
  <c r="O527" i="1"/>
  <c r="Q527" i="1" s="1"/>
  <c r="M527" i="1"/>
  <c r="K527" i="1"/>
  <c r="P526" i="1"/>
  <c r="O526" i="1"/>
  <c r="M526" i="1"/>
  <c r="K526" i="1"/>
  <c r="L526" i="1" s="1"/>
  <c r="O525" i="1"/>
  <c r="M525" i="1"/>
  <c r="K525" i="1"/>
  <c r="Q524" i="1"/>
  <c r="O524" i="1"/>
  <c r="M524" i="1"/>
  <c r="L524" i="1"/>
  <c r="K524" i="1"/>
  <c r="P524" i="1" s="1"/>
  <c r="O523" i="1"/>
  <c r="K523" i="1"/>
  <c r="Q522" i="1"/>
  <c r="O522" i="1"/>
  <c r="K522" i="1"/>
  <c r="O521" i="1"/>
  <c r="K521" i="1"/>
  <c r="O520" i="1"/>
  <c r="Q520" i="1" s="1"/>
  <c r="L520" i="1"/>
  <c r="K520" i="1"/>
  <c r="M520" i="1" s="1"/>
  <c r="O519" i="1"/>
  <c r="K519" i="1"/>
  <c r="P518" i="1"/>
  <c r="O518" i="1"/>
  <c r="M518" i="1"/>
  <c r="K518" i="1"/>
  <c r="L518" i="1" s="1"/>
  <c r="O517" i="1"/>
  <c r="K517" i="1"/>
  <c r="O516" i="1"/>
  <c r="K516" i="1"/>
  <c r="O515" i="1"/>
  <c r="K515" i="1"/>
  <c r="O514" i="1"/>
  <c r="K514" i="1"/>
  <c r="L514" i="1" s="1"/>
  <c r="O513" i="1"/>
  <c r="K513" i="1"/>
  <c r="Q512" i="1"/>
  <c r="O512" i="1"/>
  <c r="K512" i="1"/>
  <c r="P512" i="1" s="1"/>
  <c r="O511" i="1"/>
  <c r="K511" i="1"/>
  <c r="O510" i="1"/>
  <c r="Q510" i="1" s="1"/>
  <c r="M510" i="1"/>
  <c r="K510" i="1"/>
  <c r="O509" i="1"/>
  <c r="K509" i="1"/>
  <c r="P508" i="1"/>
  <c r="O508" i="1"/>
  <c r="K508" i="1"/>
  <c r="M508" i="1" s="1"/>
  <c r="O507" i="1"/>
  <c r="K507" i="1"/>
  <c r="O506" i="1"/>
  <c r="K506" i="1"/>
  <c r="P505" i="1"/>
  <c r="O505" i="1"/>
  <c r="Q505" i="1" s="1"/>
  <c r="K505" i="1"/>
  <c r="Q504" i="1"/>
  <c r="O504" i="1"/>
  <c r="K504" i="1"/>
  <c r="O503" i="1"/>
  <c r="Q503" i="1" s="1"/>
  <c r="M503" i="1"/>
  <c r="K503" i="1"/>
  <c r="P502" i="1"/>
  <c r="O502" i="1"/>
  <c r="Q502" i="1" s="1"/>
  <c r="M502" i="1"/>
  <c r="K502" i="1"/>
  <c r="L502" i="1" s="1"/>
  <c r="O501" i="1"/>
  <c r="M501" i="1"/>
  <c r="K501" i="1"/>
  <c r="Q500" i="1"/>
  <c r="O500" i="1"/>
  <c r="M500" i="1"/>
  <c r="L500" i="1"/>
  <c r="K500" i="1"/>
  <c r="P500" i="1" s="1"/>
  <c r="O499" i="1"/>
  <c r="Q499" i="1" s="1"/>
  <c r="K499" i="1"/>
  <c r="Q498" i="1"/>
  <c r="O498" i="1"/>
  <c r="K498" i="1"/>
  <c r="O497" i="1"/>
  <c r="K497" i="1"/>
  <c r="O496" i="1"/>
  <c r="M496" i="1"/>
  <c r="K496" i="1"/>
  <c r="O495" i="1"/>
  <c r="M495" i="1"/>
  <c r="K495" i="1"/>
  <c r="O494" i="1"/>
  <c r="K494" i="1"/>
  <c r="P494" i="1" s="1"/>
  <c r="Q493" i="1"/>
  <c r="P493" i="1"/>
  <c r="O493" i="1"/>
  <c r="M493" i="1"/>
  <c r="K493" i="1"/>
  <c r="L493" i="1" s="1"/>
  <c r="Q492" i="1"/>
  <c r="O492" i="1"/>
  <c r="L492" i="1"/>
  <c r="K492" i="1"/>
  <c r="O491" i="1"/>
  <c r="Q491" i="1" s="1"/>
  <c r="K491" i="1"/>
  <c r="Q490" i="1"/>
  <c r="O490" i="1"/>
  <c r="K490" i="1"/>
  <c r="Q489" i="1"/>
  <c r="P489" i="1"/>
  <c r="O489" i="1"/>
  <c r="M489" i="1"/>
  <c r="K489" i="1"/>
  <c r="L489" i="1" s="1"/>
  <c r="O488" i="1"/>
  <c r="Q488" i="1" s="1"/>
  <c r="L488" i="1"/>
  <c r="K488" i="1"/>
  <c r="M488" i="1" s="1"/>
  <c r="O487" i="1"/>
  <c r="Q487" i="1" s="1"/>
  <c r="M487" i="1"/>
  <c r="K487" i="1"/>
  <c r="L487" i="1" s="1"/>
  <c r="P486" i="1"/>
  <c r="O486" i="1"/>
  <c r="K486" i="1"/>
  <c r="L486" i="1" s="1"/>
  <c r="O485" i="1"/>
  <c r="K485" i="1"/>
  <c r="Q484" i="1"/>
  <c r="P484" i="1"/>
  <c r="O484" i="1"/>
  <c r="M484" i="1"/>
  <c r="L484" i="1"/>
  <c r="K484" i="1"/>
  <c r="O483" i="1"/>
  <c r="Q483" i="1" s="1"/>
  <c r="M483" i="1"/>
  <c r="L483" i="1"/>
  <c r="K483" i="1"/>
  <c r="P482" i="1"/>
  <c r="O482" i="1"/>
  <c r="Q482" i="1" s="1"/>
  <c r="M482" i="1"/>
  <c r="L482" i="1"/>
  <c r="K482" i="1"/>
  <c r="O481" i="1"/>
  <c r="K481" i="1"/>
  <c r="P480" i="1"/>
  <c r="O480" i="1"/>
  <c r="Q480" i="1" s="1"/>
  <c r="M480" i="1"/>
  <c r="L480" i="1"/>
  <c r="K480" i="1"/>
  <c r="Q479" i="1"/>
  <c r="O479" i="1"/>
  <c r="M479" i="1"/>
  <c r="K479" i="1"/>
  <c r="O478" i="1"/>
  <c r="M478" i="1"/>
  <c r="L478" i="1"/>
  <c r="K478" i="1"/>
  <c r="O477" i="1"/>
  <c r="Q477" i="1" s="1"/>
  <c r="M477" i="1"/>
  <c r="K477" i="1"/>
  <c r="Q476" i="1"/>
  <c r="P476" i="1"/>
  <c r="O476" i="1"/>
  <c r="M476" i="1"/>
  <c r="L476" i="1"/>
  <c r="K476" i="1"/>
  <c r="O475" i="1"/>
  <c r="Q475" i="1" s="1"/>
  <c r="M475" i="1"/>
  <c r="L475" i="1"/>
  <c r="K475" i="1"/>
  <c r="Q474" i="1"/>
  <c r="P474" i="1"/>
  <c r="O474" i="1"/>
  <c r="M474" i="1"/>
  <c r="L474" i="1"/>
  <c r="K474" i="1"/>
  <c r="Q473" i="1"/>
  <c r="O473" i="1"/>
  <c r="M473" i="1"/>
  <c r="L473" i="1"/>
  <c r="K473" i="1"/>
  <c r="P473" i="1" s="1"/>
  <c r="O472" i="1"/>
  <c r="Q472" i="1" s="1"/>
  <c r="M472" i="1"/>
  <c r="L472" i="1"/>
  <c r="K472" i="1"/>
  <c r="O471" i="1"/>
  <c r="K471" i="1"/>
  <c r="Q470" i="1"/>
  <c r="P470" i="1"/>
  <c r="O470" i="1"/>
  <c r="M470" i="1"/>
  <c r="L470" i="1"/>
  <c r="K470" i="1"/>
  <c r="O469" i="1"/>
  <c r="K469" i="1"/>
  <c r="O468" i="1"/>
  <c r="Q468" i="1" s="1"/>
  <c r="M468" i="1"/>
  <c r="L468" i="1"/>
  <c r="K468" i="1"/>
  <c r="O467" i="1"/>
  <c r="Q467" i="1" s="1"/>
  <c r="M467" i="1"/>
  <c r="L467" i="1"/>
  <c r="K467" i="1"/>
  <c r="Q466" i="1"/>
  <c r="P466" i="1"/>
  <c r="O466" i="1"/>
  <c r="M466" i="1"/>
  <c r="L466" i="1"/>
  <c r="K466" i="1"/>
  <c r="Q465" i="1"/>
  <c r="O465" i="1"/>
  <c r="M465" i="1"/>
  <c r="K465" i="1"/>
  <c r="P465" i="1" s="1"/>
  <c r="O464" i="1"/>
  <c r="M464" i="1"/>
  <c r="L464" i="1"/>
  <c r="K464" i="1"/>
  <c r="Q463" i="1"/>
  <c r="O463" i="1"/>
  <c r="L463" i="1"/>
  <c r="K463" i="1"/>
  <c r="Q462" i="1"/>
  <c r="O462" i="1"/>
  <c r="P462" i="1" s="1"/>
  <c r="M462" i="1"/>
  <c r="L462" i="1"/>
  <c r="K462" i="1"/>
  <c r="O461" i="1"/>
  <c r="K461" i="1"/>
  <c r="Q460" i="1"/>
  <c r="P460" i="1"/>
  <c r="O460" i="1"/>
  <c r="M460" i="1"/>
  <c r="L460" i="1"/>
  <c r="K460" i="1"/>
  <c r="O459" i="1"/>
  <c r="Q459" i="1" s="1"/>
  <c r="M459" i="1"/>
  <c r="L459" i="1"/>
  <c r="K459" i="1"/>
  <c r="P458" i="1"/>
  <c r="O458" i="1"/>
  <c r="Q458" i="1" s="1"/>
  <c r="M458" i="1"/>
  <c r="L458" i="1"/>
  <c r="K458" i="1"/>
  <c r="O457" i="1"/>
  <c r="Q457" i="1" s="1"/>
  <c r="M457" i="1"/>
  <c r="L457" i="1"/>
  <c r="K457" i="1"/>
  <c r="P456" i="1"/>
  <c r="O456" i="1"/>
  <c r="Q456" i="1" s="1"/>
  <c r="M456" i="1"/>
  <c r="L456" i="1"/>
  <c r="K456" i="1"/>
  <c r="O455" i="1"/>
  <c r="L455" i="1"/>
  <c r="K455" i="1"/>
  <c r="Q454" i="1"/>
  <c r="O454" i="1"/>
  <c r="P454" i="1" s="1"/>
  <c r="M454" i="1"/>
  <c r="L454" i="1"/>
  <c r="K454" i="1"/>
  <c r="Q453" i="1"/>
  <c r="O453" i="1"/>
  <c r="M453" i="1"/>
  <c r="K453" i="1"/>
  <c r="P453" i="1" s="1"/>
  <c r="Q452" i="1"/>
  <c r="P452" i="1"/>
  <c r="O452" i="1"/>
  <c r="M452" i="1"/>
  <c r="L452" i="1"/>
  <c r="K452" i="1"/>
  <c r="Q451" i="1"/>
  <c r="O451" i="1"/>
  <c r="M451" i="1"/>
  <c r="L451" i="1"/>
  <c r="K451" i="1"/>
  <c r="O450" i="1"/>
  <c r="M450" i="1"/>
  <c r="L450" i="1"/>
  <c r="K450" i="1"/>
  <c r="Q449" i="1"/>
  <c r="O449" i="1"/>
  <c r="M449" i="1"/>
  <c r="K449" i="1"/>
  <c r="O448" i="1"/>
  <c r="M448" i="1"/>
  <c r="L448" i="1"/>
  <c r="K448" i="1"/>
  <c r="Q447" i="1"/>
  <c r="O447" i="1"/>
  <c r="M447" i="1"/>
  <c r="L447" i="1"/>
  <c r="K447" i="1"/>
  <c r="Q446" i="1"/>
  <c r="O446" i="1"/>
  <c r="P446" i="1" s="1"/>
  <c r="M446" i="1"/>
  <c r="L446" i="1"/>
  <c r="K446" i="1"/>
  <c r="O445" i="1"/>
  <c r="Q445" i="1" s="1"/>
  <c r="L445" i="1"/>
  <c r="K445" i="1"/>
  <c r="P445" i="1" s="1"/>
  <c r="P444" i="1"/>
  <c r="O444" i="1"/>
  <c r="K444" i="1"/>
  <c r="O443" i="1"/>
  <c r="L443" i="1"/>
  <c r="K443" i="1"/>
  <c r="P443" i="1" s="1"/>
  <c r="Q442" i="1"/>
  <c r="P442" i="1"/>
  <c r="O442" i="1"/>
  <c r="M442" i="1"/>
  <c r="K442" i="1"/>
  <c r="L442" i="1" s="1"/>
  <c r="Q441" i="1"/>
  <c r="O441" i="1"/>
  <c r="M441" i="1"/>
  <c r="K441" i="1"/>
  <c r="P441" i="1" s="1"/>
  <c r="Q440" i="1"/>
  <c r="O440" i="1"/>
  <c r="P440" i="1" s="1"/>
  <c r="M440" i="1"/>
  <c r="L440" i="1"/>
  <c r="K440" i="1"/>
  <c r="O439" i="1"/>
  <c r="Q439" i="1" s="1"/>
  <c r="L439" i="1"/>
  <c r="K439" i="1"/>
  <c r="Q438" i="1"/>
  <c r="O438" i="1"/>
  <c r="P438" i="1" s="1"/>
  <c r="M438" i="1"/>
  <c r="L438" i="1"/>
  <c r="K438" i="1"/>
  <c r="O437" i="1"/>
  <c r="K437" i="1"/>
  <c r="Q436" i="1"/>
  <c r="P436" i="1"/>
  <c r="O436" i="1"/>
  <c r="M436" i="1"/>
  <c r="K436" i="1"/>
  <c r="L436" i="1" s="1"/>
  <c r="Q435" i="1"/>
  <c r="O435" i="1"/>
  <c r="M435" i="1"/>
  <c r="L435" i="1"/>
  <c r="K435" i="1"/>
  <c r="Q434" i="1"/>
  <c r="P434" i="1"/>
  <c r="O434" i="1"/>
  <c r="M434" i="1"/>
  <c r="L434" i="1"/>
  <c r="K434" i="1"/>
  <c r="O433" i="1"/>
  <c r="Q433" i="1" s="1"/>
  <c r="M433" i="1"/>
  <c r="L433" i="1"/>
  <c r="K433" i="1"/>
  <c r="O432" i="1"/>
  <c r="Q432" i="1" s="1"/>
  <c r="M432" i="1"/>
  <c r="L432" i="1"/>
  <c r="K432" i="1"/>
  <c r="O431" i="1"/>
  <c r="Q431" i="1" s="1"/>
  <c r="M431" i="1"/>
  <c r="L431" i="1"/>
  <c r="K431" i="1"/>
  <c r="O430" i="1"/>
  <c r="L430" i="1"/>
  <c r="K430" i="1"/>
  <c r="Q429" i="1"/>
  <c r="O429" i="1"/>
  <c r="M429" i="1"/>
  <c r="K429" i="1"/>
  <c r="O428" i="1"/>
  <c r="K428" i="1"/>
  <c r="O427" i="1"/>
  <c r="Q427" i="1" s="1"/>
  <c r="L427" i="1"/>
  <c r="K427" i="1"/>
  <c r="P427" i="1" s="1"/>
  <c r="Q426" i="1"/>
  <c r="P426" i="1"/>
  <c r="O426" i="1"/>
  <c r="L426" i="1"/>
  <c r="K426" i="1"/>
  <c r="M426" i="1" s="1"/>
  <c r="O425" i="1"/>
  <c r="K425" i="1"/>
  <c r="Q424" i="1"/>
  <c r="P424" i="1"/>
  <c r="O424" i="1"/>
  <c r="K424" i="1"/>
  <c r="O423" i="1"/>
  <c r="M423" i="1"/>
  <c r="K423" i="1"/>
  <c r="P423" i="1" s="1"/>
  <c r="Q422" i="1"/>
  <c r="O422" i="1"/>
  <c r="P422" i="1" s="1"/>
  <c r="L422" i="1"/>
  <c r="K422" i="1"/>
  <c r="M422" i="1" s="1"/>
  <c r="Q421" i="1"/>
  <c r="O421" i="1"/>
  <c r="M421" i="1"/>
  <c r="K421" i="1"/>
  <c r="P421" i="1" s="1"/>
  <c r="O420" i="1"/>
  <c r="Q420" i="1" s="1"/>
  <c r="K420" i="1"/>
  <c r="M420" i="1" s="1"/>
  <c r="P419" i="1"/>
  <c r="O419" i="1"/>
  <c r="L419" i="1"/>
  <c r="K419" i="1"/>
  <c r="Q418" i="1"/>
  <c r="O418" i="1"/>
  <c r="K418" i="1"/>
  <c r="M418" i="1" s="1"/>
  <c r="O417" i="1"/>
  <c r="K417" i="1"/>
  <c r="P416" i="1"/>
  <c r="O416" i="1"/>
  <c r="Q416" i="1" s="1"/>
  <c r="L416" i="1"/>
  <c r="K416" i="1"/>
  <c r="M416" i="1" s="1"/>
  <c r="Q415" i="1"/>
  <c r="P415" i="1"/>
  <c r="O415" i="1"/>
  <c r="M415" i="1"/>
  <c r="K415" i="1"/>
  <c r="L415" i="1" s="1"/>
  <c r="O414" i="1"/>
  <c r="Q414" i="1" s="1"/>
  <c r="L414" i="1"/>
  <c r="K414" i="1"/>
  <c r="Q413" i="1"/>
  <c r="P413" i="1"/>
  <c r="O413" i="1"/>
  <c r="M413" i="1"/>
  <c r="L413" i="1"/>
  <c r="K413" i="1"/>
  <c r="O412" i="1"/>
  <c r="K412" i="1"/>
  <c r="O411" i="1"/>
  <c r="Q411" i="1" s="1"/>
  <c r="M411" i="1"/>
  <c r="K411" i="1"/>
  <c r="L411" i="1" s="1"/>
  <c r="O410" i="1"/>
  <c r="Q410" i="1" s="1"/>
  <c r="K410" i="1"/>
  <c r="Q409" i="1"/>
  <c r="O409" i="1"/>
  <c r="P409" i="1" s="1"/>
  <c r="M409" i="1"/>
  <c r="L409" i="1"/>
  <c r="K409" i="1"/>
  <c r="Q408" i="1"/>
  <c r="O408" i="1"/>
  <c r="K408" i="1"/>
  <c r="O407" i="1"/>
  <c r="K407" i="1"/>
  <c r="P406" i="1"/>
  <c r="O406" i="1"/>
  <c r="K406" i="1"/>
  <c r="O405" i="1"/>
  <c r="K405" i="1"/>
  <c r="Q405" i="1" s="1"/>
  <c r="O404" i="1"/>
  <c r="Q404" i="1" s="1"/>
  <c r="K404" i="1"/>
  <c r="M404" i="1" s="1"/>
  <c r="O403" i="1"/>
  <c r="Q403" i="1" s="1"/>
  <c r="M403" i="1"/>
  <c r="K403" i="1"/>
  <c r="L403" i="1" s="1"/>
  <c r="Q402" i="1"/>
  <c r="P402" i="1"/>
  <c r="O402" i="1"/>
  <c r="L402" i="1"/>
  <c r="K402" i="1"/>
  <c r="M402" i="1" s="1"/>
  <c r="O401" i="1"/>
  <c r="M401" i="1"/>
  <c r="L401" i="1"/>
  <c r="K401" i="1"/>
  <c r="P400" i="1"/>
  <c r="O400" i="1"/>
  <c r="K400" i="1"/>
  <c r="O399" i="1"/>
  <c r="K399" i="1"/>
  <c r="O398" i="1"/>
  <c r="Q398" i="1" s="1"/>
  <c r="L398" i="1"/>
  <c r="K398" i="1"/>
  <c r="M398" i="1" s="1"/>
  <c r="Q397" i="1"/>
  <c r="O397" i="1"/>
  <c r="L397" i="1"/>
  <c r="K397" i="1"/>
  <c r="P397" i="1" s="1"/>
  <c r="O396" i="1"/>
  <c r="Q396" i="1" s="1"/>
  <c r="K396" i="1"/>
  <c r="M396" i="1" s="1"/>
  <c r="P395" i="1"/>
  <c r="O395" i="1"/>
  <c r="L395" i="1"/>
  <c r="K395" i="1"/>
  <c r="O394" i="1"/>
  <c r="Q394" i="1" s="1"/>
  <c r="K394" i="1"/>
  <c r="O393" i="1"/>
  <c r="Q393" i="1" s="1"/>
  <c r="K393" i="1"/>
  <c r="Q392" i="1"/>
  <c r="O392" i="1"/>
  <c r="K392" i="1"/>
  <c r="M392" i="1" s="1"/>
  <c r="Q391" i="1"/>
  <c r="P391" i="1"/>
  <c r="O391" i="1"/>
  <c r="M391" i="1"/>
  <c r="K391" i="1"/>
  <c r="L391" i="1" s="1"/>
  <c r="Q390" i="1"/>
  <c r="P390" i="1"/>
  <c r="O390" i="1"/>
  <c r="K390" i="1"/>
  <c r="M390" i="1" s="1"/>
  <c r="O389" i="1"/>
  <c r="Q389" i="1" s="1"/>
  <c r="M389" i="1"/>
  <c r="L389" i="1"/>
  <c r="K389" i="1"/>
  <c r="O388" i="1"/>
  <c r="L388" i="1"/>
  <c r="K388" i="1"/>
  <c r="M388" i="1" s="1"/>
  <c r="O387" i="1"/>
  <c r="K387" i="1"/>
  <c r="L387" i="1" s="1"/>
  <c r="O386" i="1"/>
  <c r="K386" i="1"/>
  <c r="O385" i="1"/>
  <c r="Q385" i="1" s="1"/>
  <c r="M385" i="1"/>
  <c r="L385" i="1"/>
  <c r="K385" i="1"/>
  <c r="O384" i="1"/>
  <c r="M384" i="1"/>
  <c r="K384" i="1"/>
  <c r="P384" i="1" s="1"/>
  <c r="P383" i="1"/>
  <c r="O383" i="1"/>
  <c r="Q383" i="1" s="1"/>
  <c r="M383" i="1"/>
  <c r="L383" i="1"/>
  <c r="K383" i="1"/>
  <c r="Q382" i="1"/>
  <c r="O382" i="1"/>
  <c r="L382" i="1"/>
  <c r="K382" i="1"/>
  <c r="P382" i="1" s="1"/>
  <c r="O381" i="1"/>
  <c r="Q381" i="1" s="1"/>
  <c r="M381" i="1"/>
  <c r="L381" i="1"/>
  <c r="K381" i="1"/>
  <c r="O380" i="1"/>
  <c r="K380" i="1"/>
  <c r="P380" i="1" s="1"/>
  <c r="O379" i="1"/>
  <c r="M379" i="1"/>
  <c r="L379" i="1"/>
  <c r="K379" i="1"/>
  <c r="Q378" i="1"/>
  <c r="O378" i="1"/>
  <c r="M378" i="1"/>
  <c r="K378" i="1"/>
  <c r="P378" i="1" s="1"/>
  <c r="Q377" i="1"/>
  <c r="O377" i="1"/>
  <c r="P377" i="1" s="1"/>
  <c r="M377" i="1"/>
  <c r="L377" i="1"/>
  <c r="K377" i="1"/>
  <c r="Q376" i="1"/>
  <c r="O376" i="1"/>
  <c r="M376" i="1"/>
  <c r="L376" i="1"/>
  <c r="K376" i="1"/>
  <c r="P376" i="1" s="1"/>
  <c r="O375" i="1"/>
  <c r="Q375" i="1" s="1"/>
  <c r="K375" i="1"/>
  <c r="Q374" i="1"/>
  <c r="O374" i="1"/>
  <c r="M374" i="1"/>
  <c r="K374" i="1"/>
  <c r="P374" i="1" s="1"/>
  <c r="O373" i="1"/>
  <c r="K373" i="1"/>
  <c r="Q372" i="1"/>
  <c r="O372" i="1"/>
  <c r="M372" i="1"/>
  <c r="L372" i="1"/>
  <c r="K372" i="1"/>
  <c r="P372" i="1" s="1"/>
  <c r="Q371" i="1"/>
  <c r="O371" i="1"/>
  <c r="M371" i="1"/>
  <c r="K371" i="1"/>
  <c r="P371" i="1" s="1"/>
  <c r="Q370" i="1"/>
  <c r="O370" i="1"/>
  <c r="M370" i="1"/>
  <c r="L370" i="1"/>
  <c r="K370" i="1"/>
  <c r="P370" i="1" s="1"/>
  <c r="P369" i="1"/>
  <c r="O369" i="1"/>
  <c r="L369" i="1"/>
  <c r="K369" i="1"/>
  <c r="Q369" i="1" s="1"/>
  <c r="O368" i="1"/>
  <c r="M368" i="1"/>
  <c r="K368" i="1"/>
  <c r="P368" i="1" s="1"/>
  <c r="O367" i="1"/>
  <c r="K367" i="1"/>
  <c r="Q367" i="1" s="1"/>
  <c r="O366" i="1"/>
  <c r="K366" i="1"/>
  <c r="P366" i="1" s="1"/>
  <c r="Q365" i="1"/>
  <c r="P365" i="1"/>
  <c r="O365" i="1"/>
  <c r="M365" i="1"/>
  <c r="K365" i="1"/>
  <c r="L365" i="1" s="1"/>
  <c r="O364" i="1"/>
  <c r="K364" i="1"/>
  <c r="Q363" i="1"/>
  <c r="P363" i="1"/>
  <c r="O363" i="1"/>
  <c r="M363" i="1"/>
  <c r="L363" i="1"/>
  <c r="K363" i="1"/>
  <c r="O362" i="1"/>
  <c r="K362" i="1"/>
  <c r="Q361" i="1"/>
  <c r="P361" i="1"/>
  <c r="O361" i="1"/>
  <c r="M361" i="1"/>
  <c r="K361" i="1"/>
  <c r="L361" i="1" s="1"/>
  <c r="O360" i="1"/>
  <c r="Q360" i="1" s="1"/>
  <c r="M360" i="1"/>
  <c r="K360" i="1"/>
  <c r="P360" i="1" s="1"/>
  <c r="P359" i="1"/>
  <c r="O359" i="1"/>
  <c r="Q359" i="1" s="1"/>
  <c r="M359" i="1"/>
  <c r="L359" i="1"/>
  <c r="K359" i="1"/>
  <c r="Q358" i="1"/>
  <c r="O358" i="1"/>
  <c r="L358" i="1"/>
  <c r="K358" i="1"/>
  <c r="P358" i="1" s="1"/>
  <c r="O357" i="1"/>
  <c r="Q357" i="1" s="1"/>
  <c r="M357" i="1"/>
  <c r="L357" i="1"/>
  <c r="K357" i="1"/>
  <c r="O356" i="1"/>
  <c r="Q356" i="1" s="1"/>
  <c r="K356" i="1"/>
  <c r="P356" i="1" s="1"/>
  <c r="O355" i="1"/>
  <c r="K355" i="1"/>
  <c r="Q354" i="1"/>
  <c r="O354" i="1"/>
  <c r="M354" i="1"/>
  <c r="K354" i="1"/>
  <c r="O353" i="1"/>
  <c r="L353" i="1"/>
  <c r="K353" i="1"/>
  <c r="Q352" i="1"/>
  <c r="O352" i="1"/>
  <c r="M352" i="1"/>
  <c r="L352" i="1"/>
  <c r="K352" i="1"/>
  <c r="O351" i="1"/>
  <c r="Q351" i="1" s="1"/>
  <c r="L351" i="1"/>
  <c r="K351" i="1"/>
  <c r="Q350" i="1"/>
  <c r="O350" i="1"/>
  <c r="K350" i="1"/>
  <c r="O349" i="1"/>
  <c r="K349" i="1"/>
  <c r="O348" i="1"/>
  <c r="Q348" i="1" s="1"/>
  <c r="M348" i="1"/>
  <c r="L348" i="1"/>
  <c r="K348" i="1"/>
  <c r="Q347" i="1"/>
  <c r="O347" i="1"/>
  <c r="M347" i="1"/>
  <c r="K347" i="1"/>
  <c r="P347" i="1" s="1"/>
  <c r="Q346" i="1"/>
  <c r="O346" i="1"/>
  <c r="M346" i="1"/>
  <c r="L346" i="1"/>
  <c r="K346" i="1"/>
  <c r="P345" i="1"/>
  <c r="O345" i="1"/>
  <c r="L345" i="1"/>
  <c r="K345" i="1"/>
  <c r="Q345" i="1" s="1"/>
  <c r="O344" i="1"/>
  <c r="M344" i="1"/>
  <c r="K344" i="1"/>
  <c r="P344" i="1" s="1"/>
  <c r="O343" i="1"/>
  <c r="K343" i="1"/>
  <c r="O342" i="1"/>
  <c r="K342" i="1"/>
  <c r="Q341" i="1"/>
  <c r="P341" i="1"/>
  <c r="O341" i="1"/>
  <c r="M341" i="1"/>
  <c r="K341" i="1"/>
  <c r="L341" i="1" s="1"/>
  <c r="Q340" i="1"/>
  <c r="O340" i="1"/>
  <c r="L340" i="1"/>
  <c r="K340" i="1"/>
  <c r="Q339" i="1"/>
  <c r="P339" i="1"/>
  <c r="O339" i="1"/>
  <c r="M339" i="1"/>
  <c r="L339" i="1"/>
  <c r="K339" i="1"/>
  <c r="O338" i="1"/>
  <c r="Q338" i="1" s="1"/>
  <c r="K338" i="1"/>
  <c r="Q337" i="1"/>
  <c r="O337" i="1"/>
  <c r="P337" i="1" s="1"/>
  <c r="K337" i="1"/>
  <c r="M337" i="1" s="1"/>
  <c r="O336" i="1"/>
  <c r="Q336" i="1" s="1"/>
  <c r="M336" i="1"/>
  <c r="K336" i="1"/>
  <c r="P336" i="1" s="1"/>
  <c r="Q335" i="1"/>
  <c r="P335" i="1"/>
  <c r="O335" i="1"/>
  <c r="M335" i="1"/>
  <c r="L335" i="1"/>
  <c r="K335" i="1"/>
  <c r="Q334" i="1"/>
  <c r="O334" i="1"/>
  <c r="L334" i="1"/>
  <c r="K334" i="1"/>
  <c r="P334" i="1" s="1"/>
  <c r="P333" i="1"/>
  <c r="O333" i="1"/>
  <c r="Q333" i="1" s="1"/>
  <c r="M333" i="1"/>
  <c r="L333" i="1"/>
  <c r="K333" i="1"/>
  <c r="O332" i="1"/>
  <c r="Q332" i="1" s="1"/>
  <c r="K332" i="1"/>
  <c r="O331" i="1"/>
  <c r="Q331" i="1" s="1"/>
  <c r="L331" i="1"/>
  <c r="K331" i="1"/>
  <c r="Q330" i="1"/>
  <c r="O330" i="1"/>
  <c r="M330" i="1"/>
  <c r="K330" i="1"/>
  <c r="Q329" i="1"/>
  <c r="O329" i="1"/>
  <c r="M329" i="1"/>
  <c r="K329" i="1"/>
  <c r="P329" i="1" s="1"/>
  <c r="O328" i="1"/>
  <c r="Q328" i="1" s="1"/>
  <c r="M328" i="1"/>
  <c r="L328" i="1"/>
  <c r="K328" i="1"/>
  <c r="P327" i="1"/>
  <c r="O327" i="1"/>
  <c r="Q327" i="1" s="1"/>
  <c r="L327" i="1"/>
  <c r="K327" i="1"/>
  <c r="M327" i="1" s="1"/>
  <c r="Q326" i="1"/>
  <c r="O326" i="1"/>
  <c r="M326" i="1"/>
  <c r="K326" i="1"/>
  <c r="O325" i="1"/>
  <c r="Q325" i="1" s="1"/>
  <c r="K325" i="1"/>
  <c r="O324" i="1"/>
  <c r="Q324" i="1" s="1"/>
  <c r="M324" i="1"/>
  <c r="L324" i="1"/>
  <c r="K324" i="1"/>
  <c r="Q323" i="1"/>
  <c r="O323" i="1"/>
  <c r="M323" i="1"/>
  <c r="K323" i="1"/>
  <c r="P323" i="1" s="1"/>
  <c r="O322" i="1"/>
  <c r="K322" i="1"/>
  <c r="P321" i="1"/>
  <c r="O321" i="1"/>
  <c r="L321" i="1"/>
  <c r="K321" i="1"/>
  <c r="Q321" i="1" s="1"/>
  <c r="O320" i="1"/>
  <c r="Q320" i="1" s="1"/>
  <c r="M320" i="1"/>
  <c r="L320" i="1"/>
  <c r="K320" i="1"/>
  <c r="Q319" i="1"/>
  <c r="O319" i="1"/>
  <c r="K319" i="1"/>
  <c r="O318" i="1"/>
  <c r="K318" i="1"/>
  <c r="Q317" i="1"/>
  <c r="P317" i="1"/>
  <c r="O317" i="1"/>
  <c r="M317" i="1"/>
  <c r="K317" i="1"/>
  <c r="L317" i="1" s="1"/>
  <c r="O316" i="1"/>
  <c r="K316" i="1"/>
  <c r="O315" i="1"/>
  <c r="Q315" i="1" s="1"/>
  <c r="M315" i="1"/>
  <c r="L315" i="1"/>
  <c r="K315" i="1"/>
  <c r="O314" i="1"/>
  <c r="Q314" i="1" s="1"/>
  <c r="K314" i="1"/>
  <c r="O313" i="1"/>
  <c r="K313" i="1"/>
  <c r="O312" i="1"/>
  <c r="Q312" i="1" s="1"/>
  <c r="M312" i="1"/>
  <c r="K312" i="1"/>
  <c r="P312" i="1" s="1"/>
  <c r="Q311" i="1"/>
  <c r="O311" i="1"/>
  <c r="P311" i="1" s="1"/>
  <c r="M311" i="1"/>
  <c r="L311" i="1"/>
  <c r="K311" i="1"/>
  <c r="Q310" i="1"/>
  <c r="O310" i="1"/>
  <c r="L310" i="1"/>
  <c r="K310" i="1"/>
  <c r="P310" i="1" s="1"/>
  <c r="P309" i="1"/>
  <c r="O309" i="1"/>
  <c r="M309" i="1"/>
  <c r="K309" i="1"/>
  <c r="L309" i="1" s="1"/>
  <c r="O308" i="1"/>
  <c r="K308" i="1"/>
  <c r="O307" i="1"/>
  <c r="L307" i="1"/>
  <c r="K307" i="1"/>
  <c r="Q306" i="1"/>
  <c r="O306" i="1"/>
  <c r="M306" i="1"/>
  <c r="K306" i="1"/>
  <c r="Q305" i="1"/>
  <c r="O305" i="1"/>
  <c r="M305" i="1"/>
  <c r="L305" i="1"/>
  <c r="K305" i="1"/>
  <c r="P305" i="1" s="1"/>
  <c r="O304" i="1"/>
  <c r="Q304" i="1" s="1"/>
  <c r="M304" i="1"/>
  <c r="L304" i="1"/>
  <c r="K304" i="1"/>
  <c r="O303" i="1"/>
  <c r="Q303" i="1" s="1"/>
  <c r="K303" i="1"/>
  <c r="M303" i="1" s="1"/>
  <c r="O302" i="1"/>
  <c r="Q302" i="1" s="1"/>
  <c r="K302" i="1"/>
  <c r="O301" i="1"/>
  <c r="K301" i="1"/>
  <c r="O300" i="1"/>
  <c r="Q300" i="1" s="1"/>
  <c r="M300" i="1"/>
  <c r="L300" i="1"/>
  <c r="K300" i="1"/>
  <c r="Q299" i="1"/>
  <c r="O299" i="1"/>
  <c r="M299" i="1"/>
  <c r="K299" i="1"/>
  <c r="P299" i="1" s="1"/>
  <c r="O298" i="1"/>
  <c r="M298" i="1"/>
  <c r="L298" i="1"/>
  <c r="K298" i="1"/>
  <c r="P298" i="1" s="1"/>
  <c r="P297" i="1"/>
  <c r="O297" i="1"/>
  <c r="L297" i="1"/>
  <c r="K297" i="1"/>
  <c r="Q297" i="1" s="1"/>
  <c r="O296" i="1"/>
  <c r="M296" i="1"/>
  <c r="K296" i="1"/>
  <c r="P296" i="1" s="1"/>
  <c r="O295" i="1"/>
  <c r="K295" i="1"/>
  <c r="O294" i="1"/>
  <c r="Q294" i="1" s="1"/>
  <c r="L294" i="1"/>
  <c r="K294" i="1"/>
  <c r="P294" i="1" s="1"/>
  <c r="Q293" i="1"/>
  <c r="P293" i="1"/>
  <c r="O293" i="1"/>
  <c r="M293" i="1"/>
  <c r="K293" i="1"/>
  <c r="L293" i="1" s="1"/>
  <c r="O292" i="1"/>
  <c r="K292" i="1"/>
  <c r="P291" i="1"/>
  <c r="O291" i="1"/>
  <c r="Q291" i="1" s="1"/>
  <c r="M291" i="1"/>
  <c r="L291" i="1"/>
  <c r="K291" i="1"/>
  <c r="O290" i="1"/>
  <c r="K290" i="1"/>
  <c r="O289" i="1"/>
  <c r="Q289" i="1" s="1"/>
  <c r="M289" i="1"/>
  <c r="K289" i="1"/>
  <c r="L289" i="1" s="1"/>
  <c r="O288" i="1"/>
  <c r="Q288" i="1" s="1"/>
  <c r="M288" i="1"/>
  <c r="K288" i="1"/>
  <c r="P288" i="1" s="1"/>
  <c r="Q287" i="1"/>
  <c r="P287" i="1"/>
  <c r="O287" i="1"/>
  <c r="M287" i="1"/>
  <c r="L287" i="1"/>
  <c r="K287" i="1"/>
  <c r="Q286" i="1"/>
  <c r="O286" i="1"/>
  <c r="L286" i="1"/>
  <c r="K286" i="1"/>
  <c r="P286" i="1" s="1"/>
  <c r="O285" i="1"/>
  <c r="Q285" i="1" s="1"/>
  <c r="M285" i="1"/>
  <c r="L285" i="1"/>
  <c r="K285" i="1"/>
  <c r="O284" i="1"/>
  <c r="K284" i="1"/>
  <c r="O283" i="1"/>
  <c r="Q283" i="1" s="1"/>
  <c r="M283" i="1"/>
  <c r="L283" i="1"/>
  <c r="K283" i="1"/>
  <c r="Q282" i="1"/>
  <c r="O282" i="1"/>
  <c r="M282" i="1"/>
  <c r="K282" i="1"/>
  <c r="O281" i="1"/>
  <c r="L281" i="1"/>
  <c r="K281" i="1"/>
  <c r="O280" i="1"/>
  <c r="Q280" i="1" s="1"/>
  <c r="M280" i="1"/>
  <c r="L280" i="1"/>
  <c r="K280" i="1"/>
  <c r="P279" i="1"/>
  <c r="O279" i="1"/>
  <c r="Q279" i="1" s="1"/>
  <c r="L279" i="1"/>
  <c r="K279" i="1"/>
  <c r="M279" i="1" s="1"/>
  <c r="O278" i="1"/>
  <c r="M278" i="1"/>
  <c r="K278" i="1"/>
  <c r="O277" i="1"/>
  <c r="Q277" i="1" s="1"/>
  <c r="K277" i="1"/>
  <c r="Q276" i="1"/>
  <c r="O276" i="1"/>
  <c r="M276" i="1"/>
  <c r="L276" i="1"/>
  <c r="K276" i="1"/>
  <c r="Q275" i="1"/>
  <c r="O275" i="1"/>
  <c r="M275" i="1"/>
  <c r="K275" i="1"/>
  <c r="P275" i="1" s="1"/>
  <c r="O274" i="1"/>
  <c r="Q274" i="1" s="1"/>
  <c r="L274" i="1"/>
  <c r="K274" i="1"/>
  <c r="P273" i="1"/>
  <c r="O273" i="1"/>
  <c r="L273" i="1"/>
  <c r="K273" i="1"/>
  <c r="Q273" i="1" s="1"/>
  <c r="O272" i="1"/>
  <c r="M272" i="1"/>
  <c r="K272" i="1"/>
  <c r="P272" i="1" s="1"/>
  <c r="O271" i="1"/>
  <c r="K271" i="1"/>
  <c r="O270" i="1"/>
  <c r="K270" i="1"/>
  <c r="Q269" i="1"/>
  <c r="P269" i="1"/>
  <c r="O269" i="1"/>
  <c r="M269" i="1"/>
  <c r="K269" i="1"/>
  <c r="L269" i="1" s="1"/>
  <c r="Q268" i="1"/>
  <c r="O268" i="1"/>
  <c r="L268" i="1"/>
  <c r="K268" i="1"/>
  <c r="O267" i="1"/>
  <c r="M267" i="1"/>
  <c r="L267" i="1"/>
  <c r="K267" i="1"/>
  <c r="O266" i="1"/>
  <c r="K266" i="1"/>
  <c r="O265" i="1"/>
  <c r="Q265" i="1" s="1"/>
  <c r="K265" i="1"/>
  <c r="L265" i="1" s="1"/>
  <c r="O264" i="1"/>
  <c r="Q264" i="1" s="1"/>
  <c r="M264" i="1"/>
  <c r="K264" i="1"/>
  <c r="P264" i="1" s="1"/>
  <c r="P263" i="1"/>
  <c r="O263" i="1"/>
  <c r="Q263" i="1" s="1"/>
  <c r="M263" i="1"/>
  <c r="L263" i="1"/>
  <c r="K263" i="1"/>
  <c r="Q262" i="1"/>
  <c r="O262" i="1"/>
  <c r="L262" i="1"/>
  <c r="K262" i="1"/>
  <c r="P262" i="1" s="1"/>
  <c r="O261" i="1"/>
  <c r="K261" i="1"/>
  <c r="M261" i="1" s="1"/>
  <c r="O260" i="1"/>
  <c r="K260" i="1"/>
  <c r="O259" i="1"/>
  <c r="M259" i="1"/>
  <c r="K259" i="1"/>
  <c r="P259" i="1" s="1"/>
  <c r="Q258" i="1"/>
  <c r="O258" i="1"/>
  <c r="M258" i="1"/>
  <c r="K258" i="1"/>
  <c r="Q257" i="1"/>
  <c r="O257" i="1"/>
  <c r="M257" i="1"/>
  <c r="L257" i="1"/>
  <c r="K257" i="1"/>
  <c r="P257" i="1" s="1"/>
  <c r="Q256" i="1"/>
  <c r="O256" i="1"/>
  <c r="M256" i="1"/>
  <c r="L256" i="1"/>
  <c r="K256" i="1"/>
  <c r="O255" i="1"/>
  <c r="L255" i="1"/>
  <c r="K255" i="1"/>
  <c r="O254" i="1"/>
  <c r="Q254" i="1" s="1"/>
  <c r="K254" i="1"/>
  <c r="O253" i="1"/>
  <c r="K253" i="1"/>
  <c r="O252" i="1"/>
  <c r="Q252" i="1" s="1"/>
  <c r="M252" i="1"/>
  <c r="L252" i="1"/>
  <c r="K252" i="1"/>
  <c r="Q251" i="1"/>
  <c r="O251" i="1"/>
  <c r="M251" i="1"/>
  <c r="K251" i="1"/>
  <c r="P251" i="1" s="1"/>
  <c r="O250" i="1"/>
  <c r="K250" i="1"/>
  <c r="P249" i="1"/>
  <c r="O249" i="1"/>
  <c r="L249" i="1"/>
  <c r="K249" i="1"/>
  <c r="Q249" i="1" s="1"/>
  <c r="O248" i="1"/>
  <c r="Q248" i="1" s="1"/>
  <c r="K248" i="1"/>
  <c r="O247" i="1"/>
  <c r="Q247" i="1" s="1"/>
  <c r="K247" i="1"/>
  <c r="O246" i="1"/>
  <c r="Q246" i="1" s="1"/>
  <c r="K246" i="1"/>
  <c r="Q245" i="1"/>
  <c r="P245" i="1"/>
  <c r="O245" i="1"/>
  <c r="M245" i="1"/>
  <c r="K245" i="1"/>
  <c r="L245" i="1" s="1"/>
  <c r="O244" i="1"/>
  <c r="K244" i="1"/>
  <c r="O243" i="1"/>
  <c r="M243" i="1"/>
  <c r="L243" i="1"/>
  <c r="K243" i="1"/>
  <c r="O242" i="1"/>
  <c r="K242" i="1"/>
  <c r="P241" i="1"/>
  <c r="O241" i="1"/>
  <c r="Q241" i="1" s="1"/>
  <c r="M241" i="1"/>
  <c r="K241" i="1"/>
  <c r="L241" i="1" s="1"/>
  <c r="O240" i="1"/>
  <c r="Q240" i="1" s="1"/>
  <c r="M240" i="1"/>
  <c r="K240" i="1"/>
  <c r="P240" i="1" s="1"/>
  <c r="Q239" i="1"/>
  <c r="P239" i="1"/>
  <c r="O239" i="1"/>
  <c r="M239" i="1"/>
  <c r="L239" i="1"/>
  <c r="K239" i="1"/>
  <c r="Q238" i="1"/>
  <c r="O238" i="1"/>
  <c r="L238" i="1"/>
  <c r="K238" i="1"/>
  <c r="P238" i="1" s="1"/>
  <c r="O237" i="1"/>
  <c r="Q237" i="1" s="1"/>
  <c r="M237" i="1"/>
  <c r="L237" i="1"/>
  <c r="K237" i="1"/>
  <c r="O236" i="1"/>
  <c r="Q236" i="1" s="1"/>
  <c r="K236" i="1"/>
  <c r="O235" i="1"/>
  <c r="Q235" i="1" s="1"/>
  <c r="M235" i="1"/>
  <c r="L235" i="1"/>
  <c r="K235" i="1"/>
  <c r="Q234" i="1"/>
  <c r="O234" i="1"/>
  <c r="M234" i="1"/>
  <c r="K234" i="1"/>
  <c r="O233" i="1"/>
  <c r="K233" i="1"/>
  <c r="O232" i="1"/>
  <c r="Q232" i="1" s="1"/>
  <c r="M232" i="1"/>
  <c r="L232" i="1"/>
  <c r="K232" i="1"/>
  <c r="P231" i="1"/>
  <c r="O231" i="1"/>
  <c r="Q231" i="1" s="1"/>
  <c r="L231" i="1"/>
  <c r="K231" i="1"/>
  <c r="M231" i="1" s="1"/>
  <c r="Q230" i="1"/>
  <c r="O230" i="1"/>
  <c r="M230" i="1"/>
  <c r="K230" i="1"/>
  <c r="O229" i="1"/>
  <c r="Q229" i="1" s="1"/>
  <c r="K229" i="1"/>
  <c r="O228" i="1"/>
  <c r="Q228" i="1" s="1"/>
  <c r="M228" i="1"/>
  <c r="L228" i="1"/>
  <c r="K228" i="1"/>
  <c r="Q227" i="1"/>
  <c r="O227" i="1"/>
  <c r="M227" i="1"/>
  <c r="K227" i="1"/>
  <c r="P227" i="1" s="1"/>
  <c r="O226" i="1"/>
  <c r="K226" i="1"/>
  <c r="P225" i="1"/>
  <c r="O225" i="1"/>
  <c r="L225" i="1"/>
  <c r="K225" i="1"/>
  <c r="Q225" i="1" s="1"/>
  <c r="O224" i="1"/>
  <c r="Q224" i="1" s="1"/>
  <c r="L224" i="1"/>
  <c r="K224" i="1"/>
  <c r="Q223" i="1"/>
  <c r="O223" i="1"/>
  <c r="K223" i="1"/>
  <c r="O222" i="1"/>
  <c r="K222" i="1"/>
  <c r="P222" i="1" s="1"/>
  <c r="Q221" i="1"/>
  <c r="P221" i="1"/>
  <c r="O221" i="1"/>
  <c r="M221" i="1"/>
  <c r="K221" i="1"/>
  <c r="L221" i="1" s="1"/>
  <c r="O220" i="1"/>
  <c r="K220" i="1"/>
  <c r="Q219" i="1"/>
  <c r="P219" i="1"/>
  <c r="O219" i="1"/>
  <c r="M219" i="1"/>
  <c r="L219" i="1"/>
  <c r="K219" i="1"/>
  <c r="O218" i="1"/>
  <c r="Q218" i="1" s="1"/>
  <c r="K218" i="1"/>
  <c r="Q217" i="1"/>
  <c r="O217" i="1"/>
  <c r="M217" i="1"/>
  <c r="K217" i="1"/>
  <c r="O216" i="1"/>
  <c r="Q216" i="1" s="1"/>
  <c r="M216" i="1"/>
  <c r="K216" i="1"/>
  <c r="P216" i="1" s="1"/>
  <c r="O215" i="1"/>
  <c r="P215" i="1" s="1"/>
  <c r="M215" i="1"/>
  <c r="L215" i="1"/>
  <c r="K215" i="1"/>
  <c r="Q214" i="1"/>
  <c r="O214" i="1"/>
  <c r="L214" i="1"/>
  <c r="K214" i="1"/>
  <c r="P214" i="1" s="1"/>
  <c r="O213" i="1"/>
  <c r="K213" i="1"/>
  <c r="L213" i="1" s="1"/>
  <c r="O212" i="1"/>
  <c r="K212" i="1"/>
  <c r="O211" i="1"/>
  <c r="L211" i="1"/>
  <c r="K211" i="1"/>
  <c r="P211" i="1" s="1"/>
  <c r="Q210" i="1"/>
  <c r="O210" i="1"/>
  <c r="M210" i="1"/>
  <c r="K210" i="1"/>
  <c r="Q209" i="1"/>
  <c r="O209" i="1"/>
  <c r="M209" i="1"/>
  <c r="L209" i="1"/>
  <c r="K209" i="1"/>
  <c r="P209" i="1" s="1"/>
  <c r="O208" i="1"/>
  <c r="Q208" i="1" s="1"/>
  <c r="M208" i="1"/>
  <c r="L208" i="1"/>
  <c r="K208" i="1"/>
  <c r="O207" i="1"/>
  <c r="Q207" i="1" s="1"/>
  <c r="L207" i="1"/>
  <c r="K207" i="1"/>
  <c r="P207" i="1" s="1"/>
  <c r="O206" i="1"/>
  <c r="K206" i="1"/>
  <c r="O205" i="1"/>
  <c r="L205" i="1"/>
  <c r="K205" i="1"/>
  <c r="O204" i="1"/>
  <c r="Q204" i="1" s="1"/>
  <c r="M204" i="1"/>
  <c r="L204" i="1"/>
  <c r="K204" i="1"/>
  <c r="O203" i="1"/>
  <c r="M203" i="1"/>
  <c r="K203" i="1"/>
  <c r="Q202" i="1"/>
  <c r="O202" i="1"/>
  <c r="M202" i="1"/>
  <c r="K202" i="1"/>
  <c r="Q201" i="1"/>
  <c r="P201" i="1"/>
  <c r="O201" i="1"/>
  <c r="L201" i="1"/>
  <c r="K201" i="1"/>
  <c r="M201" i="1" s="1"/>
  <c r="O200" i="1"/>
  <c r="Q200" i="1" s="1"/>
  <c r="M200" i="1"/>
  <c r="L200" i="1"/>
  <c r="K200" i="1"/>
  <c r="O199" i="1"/>
  <c r="Q199" i="1" s="1"/>
  <c r="K199" i="1"/>
  <c r="O198" i="1"/>
  <c r="Q198" i="1" s="1"/>
  <c r="M198" i="1"/>
  <c r="L198" i="1"/>
  <c r="K198" i="1"/>
  <c r="Q197" i="1"/>
  <c r="P197" i="1"/>
  <c r="O197" i="1"/>
  <c r="M197" i="1"/>
  <c r="K197" i="1"/>
  <c r="L197" i="1" s="1"/>
  <c r="O196" i="1"/>
  <c r="L196" i="1"/>
  <c r="K196" i="1"/>
  <c r="P196" i="1" s="1"/>
  <c r="Q195" i="1"/>
  <c r="O195" i="1"/>
  <c r="P195" i="1" s="1"/>
  <c r="M195" i="1"/>
  <c r="L195" i="1"/>
  <c r="K195" i="1"/>
  <c r="O194" i="1"/>
  <c r="K194" i="1"/>
  <c r="P193" i="1"/>
  <c r="O193" i="1"/>
  <c r="Q193" i="1" s="1"/>
  <c r="M193" i="1"/>
  <c r="K193" i="1"/>
  <c r="L193" i="1" s="1"/>
  <c r="O192" i="1"/>
  <c r="M192" i="1"/>
  <c r="K192" i="1"/>
  <c r="Q191" i="1"/>
  <c r="P191" i="1"/>
  <c r="O191" i="1"/>
  <c r="M191" i="1"/>
  <c r="L191" i="1"/>
  <c r="K191" i="1"/>
  <c r="Q190" i="1"/>
  <c r="O190" i="1"/>
  <c r="L190" i="1"/>
  <c r="K190" i="1"/>
  <c r="P190" i="1" s="1"/>
  <c r="Q189" i="1"/>
  <c r="O189" i="1"/>
  <c r="P189" i="1" s="1"/>
  <c r="M189" i="1"/>
  <c r="K189" i="1"/>
  <c r="L189" i="1" s="1"/>
  <c r="O188" i="1"/>
  <c r="K188" i="1"/>
  <c r="O187" i="1"/>
  <c r="Q187" i="1" s="1"/>
  <c r="L187" i="1"/>
  <c r="K187" i="1"/>
  <c r="Q186" i="1"/>
  <c r="O186" i="1"/>
  <c r="M186" i="1"/>
  <c r="K186" i="1"/>
  <c r="O185" i="1"/>
  <c r="K185" i="1"/>
  <c r="O184" i="1"/>
  <c r="Q184" i="1" s="1"/>
  <c r="M184" i="1"/>
  <c r="L184" i="1"/>
  <c r="K184" i="1"/>
  <c r="P183" i="1"/>
  <c r="O183" i="1"/>
  <c r="M183" i="1"/>
  <c r="K183" i="1"/>
  <c r="L183" i="1" s="1"/>
  <c r="O182" i="1"/>
  <c r="K182" i="1"/>
  <c r="O181" i="1"/>
  <c r="K181" i="1"/>
  <c r="L181" i="1" s="1"/>
  <c r="Q180" i="1"/>
  <c r="O180" i="1"/>
  <c r="M180" i="1"/>
  <c r="L180" i="1"/>
  <c r="K180" i="1"/>
  <c r="O179" i="1"/>
  <c r="K179" i="1"/>
  <c r="O178" i="1"/>
  <c r="Q178" i="1" s="1"/>
  <c r="M178" i="1"/>
  <c r="L178" i="1"/>
  <c r="K178" i="1"/>
  <c r="Q177" i="1"/>
  <c r="P177" i="1"/>
  <c r="O177" i="1"/>
  <c r="L177" i="1"/>
  <c r="K177" i="1"/>
  <c r="M177" i="1" s="1"/>
  <c r="O176" i="1"/>
  <c r="K176" i="1"/>
  <c r="P176" i="1" s="1"/>
  <c r="O175" i="1"/>
  <c r="K175" i="1"/>
  <c r="Q175" i="1" s="1"/>
  <c r="O174" i="1"/>
  <c r="M174" i="1"/>
  <c r="K174" i="1"/>
  <c r="P174" i="1" s="1"/>
  <c r="Q173" i="1"/>
  <c r="P173" i="1"/>
  <c r="O173" i="1"/>
  <c r="M173" i="1"/>
  <c r="K173" i="1"/>
  <c r="L173" i="1" s="1"/>
  <c r="O172" i="1"/>
  <c r="M172" i="1"/>
  <c r="K172" i="1"/>
  <c r="Q171" i="1"/>
  <c r="P171" i="1"/>
  <c r="O171" i="1"/>
  <c r="M171" i="1"/>
  <c r="L171" i="1"/>
  <c r="K171" i="1"/>
  <c r="O170" i="1"/>
  <c r="Q170" i="1" s="1"/>
  <c r="L170" i="1"/>
  <c r="K170" i="1"/>
  <c r="O169" i="1"/>
  <c r="K169" i="1"/>
  <c r="O168" i="1"/>
  <c r="M168" i="1"/>
  <c r="K168" i="1"/>
  <c r="Q167" i="1"/>
  <c r="O167" i="1"/>
  <c r="P167" i="1" s="1"/>
  <c r="M167" i="1"/>
  <c r="L167" i="1"/>
  <c r="K167" i="1"/>
  <c r="Q166" i="1"/>
  <c r="O166" i="1"/>
  <c r="L166" i="1"/>
  <c r="K166" i="1"/>
  <c r="P166" i="1" s="1"/>
  <c r="Q165" i="1"/>
  <c r="O165" i="1"/>
  <c r="P165" i="1" s="1"/>
  <c r="M165" i="1"/>
  <c r="L165" i="1"/>
  <c r="K165" i="1"/>
  <c r="O164" i="1"/>
  <c r="Q164" i="1" s="1"/>
  <c r="K164" i="1"/>
  <c r="P163" i="1"/>
  <c r="O163" i="1"/>
  <c r="Q163" i="1" s="1"/>
  <c r="M163" i="1"/>
  <c r="K163" i="1"/>
  <c r="L163" i="1" s="1"/>
  <c r="Q162" i="1"/>
  <c r="O162" i="1"/>
  <c r="M162" i="1"/>
  <c r="K162" i="1"/>
  <c r="O161" i="1"/>
  <c r="Q161" i="1" s="1"/>
  <c r="L161" i="1"/>
  <c r="K161" i="1"/>
  <c r="Q160" i="1"/>
  <c r="O160" i="1"/>
  <c r="M160" i="1"/>
  <c r="L160" i="1"/>
  <c r="K160" i="1"/>
  <c r="P159" i="1"/>
  <c r="O159" i="1"/>
  <c r="Q159" i="1" s="1"/>
  <c r="L159" i="1"/>
  <c r="K159" i="1"/>
  <c r="M159" i="1" s="1"/>
  <c r="O158" i="1"/>
  <c r="Q158" i="1" s="1"/>
  <c r="K158" i="1"/>
  <c r="O157" i="1"/>
  <c r="K157" i="1"/>
  <c r="O156" i="1"/>
  <c r="K156" i="1"/>
  <c r="O155" i="1"/>
  <c r="K155" i="1"/>
  <c r="O154" i="1"/>
  <c r="Q154" i="1" s="1"/>
  <c r="M154" i="1"/>
  <c r="L154" i="1"/>
  <c r="K154" i="1"/>
  <c r="P153" i="1"/>
  <c r="O153" i="1"/>
  <c r="L153" i="1"/>
  <c r="K153" i="1"/>
  <c r="M153" i="1" s="1"/>
  <c r="O152" i="1"/>
  <c r="K152" i="1"/>
  <c r="P152" i="1" s="1"/>
  <c r="O151" i="1"/>
  <c r="K151" i="1"/>
  <c r="O150" i="1"/>
  <c r="Q150" i="1" s="1"/>
  <c r="K150" i="1"/>
  <c r="O149" i="1"/>
  <c r="Q149" i="1" s="1"/>
  <c r="M149" i="1"/>
  <c r="K149" i="1"/>
  <c r="L149" i="1" s="1"/>
  <c r="O148" i="1"/>
  <c r="Q148" i="1" s="1"/>
  <c r="M148" i="1"/>
  <c r="K148" i="1"/>
  <c r="O147" i="1"/>
  <c r="Q147" i="1" s="1"/>
  <c r="M147" i="1"/>
  <c r="L147" i="1"/>
  <c r="K147" i="1"/>
  <c r="O146" i="1"/>
  <c r="K146" i="1"/>
  <c r="P146" i="1" s="1"/>
  <c r="Q145" i="1"/>
  <c r="O145" i="1"/>
  <c r="L145" i="1"/>
  <c r="K145" i="1"/>
  <c r="P145" i="1" s="1"/>
  <c r="O144" i="1"/>
  <c r="Q144" i="1" s="1"/>
  <c r="M144" i="1"/>
  <c r="K144" i="1"/>
  <c r="O143" i="1"/>
  <c r="P143" i="1" s="1"/>
  <c r="M143" i="1"/>
  <c r="K143" i="1"/>
  <c r="L143" i="1" s="1"/>
  <c r="O142" i="1"/>
  <c r="K142" i="1"/>
  <c r="O141" i="1"/>
  <c r="K141" i="1"/>
  <c r="L141" i="1" s="1"/>
  <c r="Q140" i="1"/>
  <c r="O140" i="1"/>
  <c r="K140" i="1"/>
  <c r="P139" i="1"/>
  <c r="O139" i="1"/>
  <c r="Q139" i="1" s="1"/>
  <c r="K139" i="1"/>
  <c r="M139" i="1" s="1"/>
  <c r="O138" i="1"/>
  <c r="Q138" i="1" s="1"/>
  <c r="M138" i="1"/>
  <c r="K138" i="1"/>
  <c r="Q137" i="1"/>
  <c r="O137" i="1"/>
  <c r="P137" i="1" s="1"/>
  <c r="M137" i="1"/>
  <c r="L137" i="1"/>
  <c r="K137" i="1"/>
  <c r="O136" i="1"/>
  <c r="Q136" i="1" s="1"/>
  <c r="M136" i="1"/>
  <c r="L136" i="1"/>
  <c r="K136" i="1"/>
  <c r="O135" i="1"/>
  <c r="M135" i="1"/>
  <c r="L135" i="1"/>
  <c r="K135" i="1"/>
  <c r="Q134" i="1"/>
  <c r="O134" i="1"/>
  <c r="M134" i="1"/>
  <c r="L134" i="1"/>
  <c r="K134" i="1"/>
  <c r="P134" i="1" s="1"/>
  <c r="O133" i="1"/>
  <c r="K133" i="1"/>
  <c r="O132" i="1"/>
  <c r="Q132" i="1" s="1"/>
  <c r="M132" i="1"/>
  <c r="L132" i="1"/>
  <c r="K132" i="1"/>
  <c r="O131" i="1"/>
  <c r="K131" i="1"/>
  <c r="P131" i="1" s="1"/>
  <c r="O130" i="1"/>
  <c r="Q130" i="1" s="1"/>
  <c r="M130" i="1"/>
  <c r="L130" i="1"/>
  <c r="K130" i="1"/>
  <c r="O129" i="1"/>
  <c r="K129" i="1"/>
  <c r="O128" i="1"/>
  <c r="Q128" i="1" s="1"/>
  <c r="K128" i="1"/>
  <c r="Q127" i="1"/>
  <c r="P127" i="1"/>
  <c r="O127" i="1"/>
  <c r="K127" i="1"/>
  <c r="O126" i="1"/>
  <c r="Q126" i="1" s="1"/>
  <c r="K126" i="1"/>
  <c r="P126" i="1" s="1"/>
  <c r="O125" i="1"/>
  <c r="M125" i="1"/>
  <c r="K125" i="1"/>
  <c r="L125" i="1" s="1"/>
  <c r="O124" i="1"/>
  <c r="K124" i="1"/>
  <c r="P124" i="1" s="1"/>
  <c r="O123" i="1"/>
  <c r="Q123" i="1" s="1"/>
  <c r="M123" i="1"/>
  <c r="L123" i="1"/>
  <c r="K123" i="1"/>
  <c r="P122" i="1"/>
  <c r="O122" i="1"/>
  <c r="L122" i="1"/>
  <c r="K122" i="1"/>
  <c r="M122" i="1" s="1"/>
  <c r="Q121" i="1"/>
  <c r="P121" i="1"/>
  <c r="O121" i="1"/>
  <c r="M121" i="1"/>
  <c r="L121" i="1"/>
  <c r="K121" i="1"/>
  <c r="P120" i="1"/>
  <c r="O120" i="1"/>
  <c r="Q120" i="1" s="1"/>
  <c r="M120" i="1"/>
  <c r="K120" i="1"/>
  <c r="L120" i="1" s="1"/>
  <c r="Q119" i="1"/>
  <c r="O119" i="1"/>
  <c r="P119" i="1" s="1"/>
  <c r="M119" i="1"/>
  <c r="L119" i="1"/>
  <c r="K119" i="1"/>
  <c r="O118" i="1"/>
  <c r="Q118" i="1" s="1"/>
  <c r="M118" i="1"/>
  <c r="L118" i="1"/>
  <c r="K118" i="1"/>
  <c r="P117" i="1"/>
  <c r="O117" i="1"/>
  <c r="Q117" i="1" s="1"/>
  <c r="M117" i="1"/>
  <c r="L117" i="1"/>
  <c r="K117" i="1"/>
  <c r="O116" i="1"/>
  <c r="Q116" i="1" s="1"/>
  <c r="M116" i="1"/>
  <c r="L116" i="1"/>
  <c r="K116" i="1"/>
  <c r="P115" i="1"/>
  <c r="O115" i="1"/>
  <c r="Q115" i="1" s="1"/>
  <c r="M115" i="1"/>
  <c r="L115" i="1"/>
  <c r="K115" i="1"/>
  <c r="O114" i="1"/>
  <c r="K114" i="1"/>
  <c r="L114" i="1" s="1"/>
  <c r="Q113" i="1"/>
  <c r="O113" i="1"/>
  <c r="P113" i="1" s="1"/>
  <c r="M113" i="1"/>
  <c r="L113" i="1"/>
  <c r="K113" i="1"/>
  <c r="O112" i="1"/>
  <c r="K112" i="1"/>
  <c r="P112" i="1" s="1"/>
  <c r="Q111" i="1"/>
  <c r="P111" i="1"/>
  <c r="O111" i="1"/>
  <c r="M111" i="1"/>
  <c r="L111" i="1"/>
  <c r="K111" i="1"/>
  <c r="P110" i="1"/>
  <c r="O110" i="1"/>
  <c r="Q110" i="1" s="1"/>
  <c r="M110" i="1"/>
  <c r="L110" i="1"/>
  <c r="K110" i="1"/>
  <c r="O109" i="1"/>
  <c r="P109" i="1" s="1"/>
  <c r="M109" i="1"/>
  <c r="L109" i="1"/>
  <c r="K109" i="1"/>
  <c r="O108" i="1"/>
  <c r="K108" i="1"/>
  <c r="P108" i="1" s="1"/>
  <c r="O107" i="1"/>
  <c r="Q107" i="1" s="1"/>
  <c r="M107" i="1"/>
  <c r="L107" i="1"/>
  <c r="K107" i="1"/>
  <c r="O106" i="1"/>
  <c r="M106" i="1"/>
  <c r="K106" i="1"/>
  <c r="P106" i="1" s="1"/>
  <c r="O105" i="1"/>
  <c r="Q105" i="1" s="1"/>
  <c r="M105" i="1"/>
  <c r="L105" i="1"/>
  <c r="K105" i="1"/>
  <c r="O104" i="1"/>
  <c r="Q104" i="1" s="1"/>
  <c r="L104" i="1"/>
  <c r="K104" i="1"/>
  <c r="P104" i="1" s="1"/>
  <c r="Q103" i="1"/>
  <c r="P103" i="1"/>
  <c r="O103" i="1"/>
  <c r="M103" i="1"/>
  <c r="L103" i="1"/>
  <c r="K103" i="1"/>
  <c r="O102" i="1"/>
  <c r="Q102" i="1" s="1"/>
  <c r="M102" i="1"/>
  <c r="L102" i="1"/>
  <c r="K102" i="1"/>
  <c r="Q101" i="1"/>
  <c r="O101" i="1"/>
  <c r="P101" i="1" s="1"/>
  <c r="M101" i="1"/>
  <c r="L101" i="1"/>
  <c r="K101" i="1"/>
  <c r="P100" i="1"/>
  <c r="O100" i="1"/>
  <c r="M100" i="1"/>
  <c r="K100" i="1"/>
  <c r="L100" i="1" s="1"/>
  <c r="P99" i="1"/>
  <c r="O99" i="1"/>
  <c r="Q99" i="1" s="1"/>
  <c r="M99" i="1"/>
  <c r="L99" i="1"/>
  <c r="K99" i="1"/>
  <c r="O98" i="1"/>
  <c r="K98" i="1"/>
  <c r="Q97" i="1"/>
  <c r="P97" i="1"/>
  <c r="O97" i="1"/>
  <c r="M97" i="1"/>
  <c r="L97" i="1"/>
  <c r="K97" i="1"/>
  <c r="O96" i="1"/>
  <c r="K96" i="1"/>
  <c r="L96" i="1" s="1"/>
  <c r="Q95" i="1"/>
  <c r="P95" i="1"/>
  <c r="O95" i="1"/>
  <c r="M95" i="1"/>
  <c r="L95" i="1"/>
  <c r="K95" i="1"/>
  <c r="O94" i="1"/>
  <c r="Q94" i="1" s="1"/>
  <c r="M94" i="1"/>
  <c r="L94" i="1"/>
  <c r="K94" i="1"/>
  <c r="O93" i="1"/>
  <c r="M93" i="1"/>
  <c r="L93" i="1"/>
  <c r="K93" i="1"/>
  <c r="P92" i="1"/>
  <c r="O92" i="1"/>
  <c r="Q92" i="1" s="1"/>
  <c r="M92" i="1"/>
  <c r="L92" i="1"/>
  <c r="K92" i="1"/>
  <c r="O91" i="1"/>
  <c r="Q91" i="1" s="1"/>
  <c r="M91" i="1"/>
  <c r="L91" i="1"/>
  <c r="K91" i="1"/>
  <c r="P90" i="1"/>
  <c r="O90" i="1"/>
  <c r="M90" i="1"/>
  <c r="K90" i="1"/>
  <c r="L90" i="1" s="1"/>
  <c r="O89" i="1"/>
  <c r="K89" i="1"/>
  <c r="P89" i="1" s="1"/>
  <c r="P88" i="1"/>
  <c r="O88" i="1"/>
  <c r="K88" i="1"/>
  <c r="M88" i="1" s="1"/>
  <c r="O87" i="1"/>
  <c r="K87" i="1"/>
  <c r="Q87" i="1" s="1"/>
  <c r="O86" i="1"/>
  <c r="L86" i="1"/>
  <c r="K86" i="1"/>
  <c r="M86" i="1" s="1"/>
  <c r="Q85" i="1"/>
  <c r="O85" i="1"/>
  <c r="L85" i="1"/>
  <c r="K85" i="1"/>
  <c r="M85" i="1" s="1"/>
  <c r="O84" i="1"/>
  <c r="P84" i="1" s="1"/>
  <c r="M84" i="1"/>
  <c r="K84" i="1"/>
  <c r="L84" i="1" s="1"/>
  <c r="O83" i="1"/>
  <c r="Q83" i="1" s="1"/>
  <c r="K83" i="1"/>
  <c r="M83" i="1" s="1"/>
  <c r="O82" i="1"/>
  <c r="Q82" i="1" s="1"/>
  <c r="M82" i="1"/>
  <c r="L82" i="1"/>
  <c r="K82" i="1"/>
  <c r="O81" i="1"/>
  <c r="Q81" i="1" s="1"/>
  <c r="K81" i="1"/>
  <c r="M81" i="1" s="1"/>
  <c r="O80" i="1"/>
  <c r="Q80" i="1" s="1"/>
  <c r="K80" i="1"/>
  <c r="P79" i="1"/>
  <c r="O79" i="1"/>
  <c r="Q79" i="1" s="1"/>
  <c r="L79" i="1"/>
  <c r="K79" i="1"/>
  <c r="M79" i="1" s="1"/>
  <c r="O78" i="1"/>
  <c r="K78" i="1"/>
  <c r="L78" i="1" s="1"/>
  <c r="Q77" i="1"/>
  <c r="O77" i="1"/>
  <c r="K77" i="1"/>
  <c r="M77" i="1" s="1"/>
  <c r="O76" i="1"/>
  <c r="Q76" i="1" s="1"/>
  <c r="K76" i="1"/>
  <c r="L76" i="1" s="1"/>
  <c r="Q75" i="1"/>
  <c r="P75" i="1"/>
  <c r="O75" i="1"/>
  <c r="L75" i="1"/>
  <c r="K75" i="1"/>
  <c r="M75" i="1" s="1"/>
  <c r="O74" i="1"/>
  <c r="K74" i="1"/>
  <c r="Q74" i="1" s="1"/>
  <c r="O73" i="1"/>
  <c r="K73" i="1"/>
  <c r="M73" i="1" s="1"/>
  <c r="P72" i="1"/>
  <c r="O72" i="1"/>
  <c r="Q72" i="1" s="1"/>
  <c r="M72" i="1"/>
  <c r="L72" i="1"/>
  <c r="K72" i="1"/>
  <c r="O71" i="1"/>
  <c r="P71" i="1" s="1"/>
  <c r="L71" i="1"/>
  <c r="K71" i="1"/>
  <c r="M71" i="1" s="1"/>
  <c r="O70" i="1"/>
  <c r="Q70" i="1" s="1"/>
  <c r="K70" i="1"/>
  <c r="P70" i="1" s="1"/>
  <c r="O69" i="1"/>
  <c r="K69" i="1"/>
  <c r="P68" i="1"/>
  <c r="O68" i="1"/>
  <c r="Q68" i="1" s="1"/>
  <c r="M68" i="1"/>
  <c r="K68" i="1"/>
  <c r="L68" i="1" s="1"/>
  <c r="O67" i="1"/>
  <c r="Q67" i="1" s="1"/>
  <c r="K67" i="1"/>
  <c r="M67" i="1" s="1"/>
  <c r="Q66" i="1"/>
  <c r="O66" i="1"/>
  <c r="L66" i="1"/>
  <c r="K66" i="1"/>
  <c r="P66" i="1" s="1"/>
  <c r="O65" i="1"/>
  <c r="K65" i="1"/>
  <c r="M65" i="1" s="1"/>
  <c r="Q64" i="1"/>
  <c r="P64" i="1"/>
  <c r="O64" i="1"/>
  <c r="K64" i="1"/>
  <c r="M64" i="1" s="1"/>
  <c r="O63" i="1"/>
  <c r="Q63" i="1" s="1"/>
  <c r="K63" i="1"/>
  <c r="M63" i="1" s="1"/>
  <c r="O62" i="1"/>
  <c r="Q62" i="1" s="1"/>
  <c r="L62" i="1"/>
  <c r="K62" i="1"/>
  <c r="M62" i="1" s="1"/>
  <c r="Q61" i="1"/>
  <c r="O61" i="1"/>
  <c r="L61" i="1"/>
  <c r="K61" i="1"/>
  <c r="M61" i="1" s="1"/>
  <c r="O60" i="1"/>
  <c r="M60" i="1"/>
  <c r="K60" i="1"/>
  <c r="L60" i="1" s="1"/>
  <c r="O59" i="1"/>
  <c r="Q59" i="1" s="1"/>
  <c r="K59" i="1"/>
  <c r="M59" i="1" s="1"/>
  <c r="O58" i="1"/>
  <c r="Q58" i="1" s="1"/>
  <c r="M58" i="1"/>
  <c r="L58" i="1"/>
  <c r="K58" i="1"/>
  <c r="O57" i="1"/>
  <c r="Q57" i="1" s="1"/>
  <c r="K57" i="1"/>
  <c r="M57" i="1" s="1"/>
  <c r="O56" i="1"/>
  <c r="Q56" i="1" s="1"/>
  <c r="L56" i="1"/>
  <c r="K56" i="1"/>
  <c r="P55" i="1"/>
  <c r="O55" i="1"/>
  <c r="Q55" i="1" s="1"/>
  <c r="L55" i="1"/>
  <c r="K55" i="1"/>
  <c r="M55" i="1" s="1"/>
  <c r="O54" i="1"/>
  <c r="K54" i="1"/>
  <c r="Q53" i="1"/>
  <c r="O53" i="1"/>
  <c r="K53" i="1"/>
  <c r="M53" i="1" s="1"/>
  <c r="O52" i="1"/>
  <c r="Q52" i="1" s="1"/>
  <c r="K52" i="1"/>
  <c r="P52" i="1" s="1"/>
  <c r="Q51" i="1"/>
  <c r="P51" i="1"/>
  <c r="O51" i="1"/>
  <c r="L51" i="1"/>
  <c r="K51" i="1"/>
  <c r="M51" i="1" s="1"/>
  <c r="O50" i="1"/>
  <c r="K50" i="1"/>
  <c r="Q50" i="1" s="1"/>
  <c r="O49" i="1"/>
  <c r="Q49" i="1" s="1"/>
  <c r="K49" i="1"/>
  <c r="M49" i="1" s="1"/>
  <c r="P48" i="1"/>
  <c r="O48" i="1"/>
  <c r="Q48" i="1" s="1"/>
  <c r="M48" i="1"/>
  <c r="L48" i="1"/>
  <c r="K48" i="1"/>
  <c r="O47" i="1"/>
  <c r="L47" i="1"/>
  <c r="K47" i="1"/>
  <c r="M47" i="1" s="1"/>
  <c r="O46" i="1"/>
  <c r="Q46" i="1" s="1"/>
  <c r="K46" i="1"/>
  <c r="P46" i="1" s="1"/>
  <c r="O45" i="1"/>
  <c r="K45" i="1"/>
  <c r="P44" i="1"/>
  <c r="O44" i="1"/>
  <c r="Q44" i="1" s="1"/>
  <c r="M44" i="1"/>
  <c r="K44" i="1"/>
  <c r="L44" i="1" s="1"/>
  <c r="O43" i="1"/>
  <c r="K43" i="1"/>
  <c r="Q42" i="1"/>
  <c r="O42" i="1"/>
  <c r="L42" i="1"/>
  <c r="K42" i="1"/>
  <c r="P42" i="1" s="1"/>
  <c r="O41" i="1"/>
  <c r="K41" i="1"/>
  <c r="M41" i="1" s="1"/>
  <c r="Q40" i="1"/>
  <c r="P40" i="1"/>
  <c r="O40" i="1"/>
  <c r="K40" i="1"/>
  <c r="M40" i="1" s="1"/>
  <c r="O39" i="1"/>
  <c r="Q39" i="1" s="1"/>
  <c r="K39" i="1"/>
  <c r="M39" i="1" s="1"/>
  <c r="O38" i="1"/>
  <c r="Q38" i="1" s="1"/>
  <c r="L38" i="1"/>
  <c r="K38" i="1"/>
  <c r="M38" i="1" s="1"/>
  <c r="Q37" i="1"/>
  <c r="O37" i="1"/>
  <c r="L37" i="1"/>
  <c r="K37" i="1"/>
  <c r="M37" i="1" s="1"/>
  <c r="O36" i="1"/>
  <c r="M36" i="1"/>
  <c r="K36" i="1"/>
  <c r="L36" i="1" s="1"/>
  <c r="O35" i="1"/>
  <c r="Q35" i="1" s="1"/>
  <c r="K35" i="1"/>
  <c r="M35" i="1" s="1"/>
  <c r="O34" i="1"/>
  <c r="P34" i="1" s="1"/>
  <c r="M34" i="1"/>
  <c r="L34" i="1"/>
  <c r="K34" i="1"/>
  <c r="O33" i="1"/>
  <c r="Q33" i="1" s="1"/>
  <c r="K33" i="1"/>
  <c r="M33" i="1" s="1"/>
  <c r="O32" i="1"/>
  <c r="K32" i="1"/>
  <c r="L32" i="1" s="1"/>
  <c r="P31" i="1"/>
  <c r="O31" i="1"/>
  <c r="Q31" i="1" s="1"/>
  <c r="L31" i="1"/>
  <c r="K31" i="1"/>
  <c r="M31" i="1" s="1"/>
  <c r="O30" i="1"/>
  <c r="K30" i="1"/>
  <c r="Q29" i="1"/>
  <c r="O29" i="1"/>
  <c r="K29" i="1"/>
  <c r="M29" i="1" s="1"/>
  <c r="O28" i="1"/>
  <c r="Q28" i="1" s="1"/>
  <c r="K28" i="1"/>
  <c r="L28" i="1" s="1"/>
  <c r="Q27" i="1"/>
  <c r="P27" i="1"/>
  <c r="O27" i="1"/>
  <c r="L27" i="1"/>
  <c r="K27" i="1"/>
  <c r="M27" i="1" s="1"/>
  <c r="O26" i="1"/>
  <c r="K26" i="1"/>
  <c r="Q26" i="1" s="1"/>
  <c r="O25" i="1"/>
  <c r="Q25" i="1" s="1"/>
  <c r="L25" i="1"/>
  <c r="K25" i="1"/>
  <c r="M25" i="1" s="1"/>
  <c r="O24" i="1"/>
  <c r="K24" i="1"/>
  <c r="Q24" i="1" s="1"/>
  <c r="O23" i="1"/>
  <c r="Q23" i="1" s="1"/>
  <c r="L23" i="1"/>
  <c r="K23" i="1"/>
  <c r="M23" i="1" s="1"/>
  <c r="O22" i="1"/>
  <c r="K22" i="1"/>
  <c r="Q22" i="1" s="1"/>
  <c r="O21" i="1"/>
  <c r="Q21" i="1" s="1"/>
  <c r="L21" i="1"/>
  <c r="K21" i="1"/>
  <c r="M21" i="1" s="1"/>
  <c r="O20" i="1"/>
  <c r="K20" i="1"/>
  <c r="Q20" i="1" s="1"/>
  <c r="O19" i="1"/>
  <c r="Q19" i="1" s="1"/>
  <c r="L19" i="1"/>
  <c r="K19" i="1"/>
  <c r="M19" i="1" s="1"/>
  <c r="O18" i="1"/>
  <c r="K18" i="1"/>
  <c r="Q18" i="1" s="1"/>
  <c r="O17" i="1"/>
  <c r="Q17" i="1" s="1"/>
  <c r="L17" i="1"/>
  <c r="K17" i="1"/>
  <c r="M17" i="1" s="1"/>
  <c r="O16" i="1"/>
  <c r="K16" i="1"/>
  <c r="Q16" i="1" s="1"/>
  <c r="O15" i="1"/>
  <c r="Q15" i="1" s="1"/>
  <c r="L15" i="1"/>
  <c r="K15" i="1"/>
  <c r="M15" i="1" s="1"/>
  <c r="O14" i="1"/>
  <c r="K14" i="1"/>
  <c r="Q14" i="1" s="1"/>
  <c r="O13" i="1"/>
  <c r="Q13" i="1" s="1"/>
  <c r="L13" i="1"/>
  <c r="K13" i="1"/>
  <c r="M13" i="1" s="1"/>
  <c r="O12" i="1"/>
  <c r="K12" i="1"/>
  <c r="Q12" i="1" s="1"/>
  <c r="O11" i="1"/>
  <c r="Q11" i="1" s="1"/>
  <c r="L11" i="1"/>
  <c r="K11" i="1"/>
  <c r="M11" i="1" s="1"/>
  <c r="O10" i="1"/>
  <c r="K10" i="1"/>
  <c r="Q10" i="1" s="1"/>
  <c r="O9" i="1"/>
  <c r="Q9" i="1" s="1"/>
  <c r="L9" i="1"/>
  <c r="K9" i="1"/>
  <c r="M9" i="1" s="1"/>
  <c r="O8" i="1"/>
  <c r="K8" i="1"/>
  <c r="M8" i="1" s="1"/>
  <c r="O7" i="1"/>
  <c r="Q7" i="1" s="1"/>
  <c r="L7" i="1"/>
  <c r="K7" i="1"/>
  <c r="M7" i="1" s="1"/>
  <c r="O6" i="1"/>
  <c r="K6" i="1"/>
  <c r="Q6" i="1" s="1"/>
  <c r="O5" i="1"/>
  <c r="Q5" i="1" s="1"/>
  <c r="L5" i="1"/>
  <c r="K5" i="1"/>
  <c r="M5" i="1" s="1"/>
  <c r="O4" i="1"/>
  <c r="K4" i="1"/>
  <c r="Q4" i="1" s="1"/>
  <c r="O3" i="1"/>
  <c r="Q3" i="1" s="1"/>
  <c r="M3" i="1"/>
  <c r="L3" i="1"/>
  <c r="M644" i="1" l="1"/>
  <c r="L644" i="1"/>
  <c r="P644" i="1"/>
  <c r="M45" i="1"/>
  <c r="P45" i="1"/>
  <c r="M98" i="1"/>
  <c r="P98" i="1"/>
  <c r="L98" i="1"/>
  <c r="P133" i="1"/>
  <c r="M133" i="1"/>
  <c r="L133" i="1"/>
  <c r="P5" i="1"/>
  <c r="P9" i="1"/>
  <c r="P13" i="1"/>
  <c r="P17" i="1"/>
  <c r="P21" i="1"/>
  <c r="P25" i="1"/>
  <c r="L45" i="1"/>
  <c r="P157" i="1"/>
  <c r="M157" i="1"/>
  <c r="L157" i="1"/>
  <c r="P49" i="1"/>
  <c r="Q69" i="1"/>
  <c r="P73" i="1"/>
  <c r="Q73" i="1"/>
  <c r="Q125" i="1"/>
  <c r="P125" i="1"/>
  <c r="Q401" i="1"/>
  <c r="P401" i="1"/>
  <c r="P60" i="1"/>
  <c r="Q60" i="1"/>
  <c r="M69" i="1"/>
  <c r="P69" i="1"/>
  <c r="L69" i="1"/>
  <c r="Q45" i="1"/>
  <c r="L54" i="1"/>
  <c r="M54" i="1"/>
  <c r="Q54" i="1"/>
  <c r="P54" i="1"/>
  <c r="P38" i="1"/>
  <c r="Q86" i="1"/>
  <c r="P86" i="1"/>
  <c r="Q93" i="1"/>
  <c r="P93" i="1"/>
  <c r="P30" i="1"/>
  <c r="Q30" i="1"/>
  <c r="L30" i="1"/>
  <c r="M30" i="1"/>
  <c r="P206" i="1"/>
  <c r="L206" i="1"/>
  <c r="Q206" i="1"/>
  <c r="M206" i="1"/>
  <c r="M43" i="1"/>
  <c r="L43" i="1"/>
  <c r="P43" i="1"/>
  <c r="P3" i="1"/>
  <c r="P7" i="1"/>
  <c r="P11" i="1"/>
  <c r="P15" i="1"/>
  <c r="P19" i="1"/>
  <c r="P23" i="1"/>
  <c r="Q43" i="1"/>
  <c r="P47" i="1"/>
  <c r="Q47" i="1"/>
  <c r="P62" i="1"/>
  <c r="L169" i="1"/>
  <c r="P169" i="1"/>
  <c r="M169" i="1"/>
  <c r="Q36" i="1"/>
  <c r="P36" i="1"/>
  <c r="M151" i="1"/>
  <c r="L151" i="1"/>
  <c r="P151" i="1"/>
  <c r="Q151" i="1"/>
  <c r="Q169" i="1"/>
  <c r="M32" i="1"/>
  <c r="P32" i="1"/>
  <c r="Q32" i="1"/>
  <c r="M56" i="1"/>
  <c r="P56" i="1"/>
  <c r="L80" i="1"/>
  <c r="M80" i="1"/>
  <c r="P80" i="1"/>
  <c r="P128" i="1"/>
  <c r="M128" i="1"/>
  <c r="L128" i="1"/>
  <c r="Q135" i="1"/>
  <c r="P135" i="1"/>
  <c r="P318" i="1"/>
  <c r="M318" i="1"/>
  <c r="L318" i="1"/>
  <c r="P172" i="1"/>
  <c r="L172" i="1"/>
  <c r="P203" i="1"/>
  <c r="L203" i="1"/>
  <c r="P212" i="1"/>
  <c r="M212" i="1"/>
  <c r="L212" i="1"/>
  <c r="M394" i="1"/>
  <c r="P394" i="1"/>
  <c r="L394" i="1"/>
  <c r="M141" i="1"/>
  <c r="M146" i="1"/>
  <c r="P158" i="1"/>
  <c r="L158" i="1"/>
  <c r="Q194" i="1"/>
  <c r="P355" i="1"/>
  <c r="M355" i="1"/>
  <c r="L355" i="1"/>
  <c r="P266" i="1"/>
  <c r="M266" i="1"/>
  <c r="L266" i="1"/>
  <c r="L41" i="1"/>
  <c r="P58" i="1"/>
  <c r="L65" i="1"/>
  <c r="M78" i="1"/>
  <c r="P82" i="1"/>
  <c r="L87" i="1"/>
  <c r="P91" i="1"/>
  <c r="M96" i="1"/>
  <c r="P107" i="1"/>
  <c r="Q109" i="1"/>
  <c r="M114" i="1"/>
  <c r="P116" i="1"/>
  <c r="P123" i="1"/>
  <c r="L131" i="1"/>
  <c r="Q133" i="1"/>
  <c r="Q143" i="1"/>
  <c r="P185" i="1"/>
  <c r="L185" i="1"/>
  <c r="Q215" i="1"/>
  <c r="Q266" i="1"/>
  <c r="P292" i="1"/>
  <c r="M292" i="1"/>
  <c r="P295" i="1"/>
  <c r="M295" i="1"/>
  <c r="L295" i="1"/>
  <c r="Q301" i="1"/>
  <c r="P315" i="1"/>
  <c r="Q318" i="1"/>
  <c r="P322" i="1"/>
  <c r="M322" i="1"/>
  <c r="L322" i="1"/>
  <c r="L4" i="1"/>
  <c r="L6" i="1"/>
  <c r="L8" i="1"/>
  <c r="L10" i="1"/>
  <c r="L12" i="1"/>
  <c r="L14" i="1"/>
  <c r="L16" i="1"/>
  <c r="L18" i="1"/>
  <c r="L20" i="1"/>
  <c r="L22" i="1"/>
  <c r="L24" i="1"/>
  <c r="L26" i="1"/>
  <c r="M28" i="1"/>
  <c r="Q34" i="1"/>
  <c r="L39" i="1"/>
  <c r="L50" i="1"/>
  <c r="M52" i="1"/>
  <c r="L63" i="1"/>
  <c r="P67" i="1"/>
  <c r="L74" i="1"/>
  <c r="M76" i="1"/>
  <c r="M87" i="1"/>
  <c r="Q96" i="1"/>
  <c r="P105" i="1"/>
  <c r="L112" i="1"/>
  <c r="Q114" i="1"/>
  <c r="L126" i="1"/>
  <c r="M131" i="1"/>
  <c r="Q141" i="1"/>
  <c r="P144" i="1"/>
  <c r="L144" i="1"/>
  <c r="L152" i="1"/>
  <c r="M158" i="1"/>
  <c r="P161" i="1"/>
  <c r="M161" i="1"/>
  <c r="Q172" i="1"/>
  <c r="Q181" i="1"/>
  <c r="M185" i="1"/>
  <c r="Q203" i="1"/>
  <c r="M213" i="1"/>
  <c r="L222" i="1"/>
  <c r="L292" i="1"/>
  <c r="Q298" i="1"/>
  <c r="Q322" i="1"/>
  <c r="P478" i="1"/>
  <c r="Q478" i="1"/>
  <c r="L67" i="1"/>
  <c r="Q98" i="1"/>
  <c r="P181" i="1"/>
  <c r="M181" i="1"/>
  <c r="M4" i="1"/>
  <c r="M10" i="1"/>
  <c r="M12" i="1"/>
  <c r="M14" i="1"/>
  <c r="M16" i="1"/>
  <c r="M18" i="1"/>
  <c r="M22" i="1"/>
  <c r="M24" i="1"/>
  <c r="M26" i="1"/>
  <c r="P78" i="1"/>
  <c r="P96" i="1"/>
  <c r="M112" i="1"/>
  <c r="P114" i="1"/>
  <c r="M126" i="1"/>
  <c r="M129" i="1"/>
  <c r="P129" i="1"/>
  <c r="P141" i="1"/>
  <c r="M152" i="1"/>
  <c r="P155" i="1"/>
  <c r="L155" i="1"/>
  <c r="M155" i="1"/>
  <c r="P182" i="1"/>
  <c r="L182" i="1"/>
  <c r="M182" i="1"/>
  <c r="M222" i="1"/>
  <c r="P226" i="1"/>
  <c r="M226" i="1"/>
  <c r="L226" i="1"/>
  <c r="P233" i="1"/>
  <c r="L233" i="1"/>
  <c r="P242" i="1"/>
  <c r="M242" i="1"/>
  <c r="L242" i="1"/>
  <c r="P250" i="1"/>
  <c r="M250" i="1"/>
  <c r="L250" i="1"/>
  <c r="P260" i="1"/>
  <c r="M260" i="1"/>
  <c r="L260" i="1"/>
  <c r="P270" i="1"/>
  <c r="M270" i="1"/>
  <c r="L270" i="1"/>
  <c r="Q295" i="1"/>
  <c r="P316" i="1"/>
  <c r="M316" i="1"/>
  <c r="Q316" i="1"/>
  <c r="L316" i="1"/>
  <c r="P301" i="1"/>
  <c r="M301" i="1"/>
  <c r="L301" i="1"/>
  <c r="L52" i="1"/>
  <c r="M89" i="1"/>
  <c r="M74" i="1"/>
  <c r="L35" i="1"/>
  <c r="L46" i="1"/>
  <c r="P63" i="1"/>
  <c r="Q65" i="1"/>
  <c r="L70" i="1"/>
  <c r="P76" i="1"/>
  <c r="Q78" i="1"/>
  <c r="L83" i="1"/>
  <c r="L108" i="1"/>
  <c r="Q112" i="1"/>
  <c r="L124" i="1"/>
  <c r="L129" i="1"/>
  <c r="Q131" i="1"/>
  <c r="L139" i="1"/>
  <c r="P142" i="1"/>
  <c r="M142" i="1"/>
  <c r="P149" i="1"/>
  <c r="Q152" i="1"/>
  <c r="L176" i="1"/>
  <c r="Q182" i="1"/>
  <c r="Q185" i="1"/>
  <c r="P213" i="1"/>
  <c r="Q222" i="1"/>
  <c r="Q226" i="1"/>
  <c r="M233" i="1"/>
  <c r="P246" i="1"/>
  <c r="M246" i="1"/>
  <c r="L246" i="1"/>
  <c r="P254" i="1"/>
  <c r="L254" i="1"/>
  <c r="M254" i="1"/>
  <c r="Q260" i="1"/>
  <c r="P289" i="1"/>
  <c r="Q292" i="1"/>
  <c r="L313" i="1"/>
  <c r="Q313" i="1"/>
  <c r="P313" i="1"/>
  <c r="P342" i="1"/>
  <c r="M342" i="1"/>
  <c r="Q388" i="1"/>
  <c r="P388" i="1"/>
  <c r="Q157" i="1"/>
  <c r="P175" i="1"/>
  <c r="M175" i="1"/>
  <c r="L175" i="1"/>
  <c r="P41" i="1"/>
  <c r="M50" i="1"/>
  <c r="P65" i="1"/>
  <c r="Q89" i="1"/>
  <c r="P28" i="1"/>
  <c r="P39" i="1"/>
  <c r="Q41" i="1"/>
  <c r="L59" i="1"/>
  <c r="P87" i="1"/>
  <c r="P4" i="1"/>
  <c r="P6" i="1"/>
  <c r="P8" i="1"/>
  <c r="P10" i="1"/>
  <c r="P12" i="1"/>
  <c r="P14" i="1"/>
  <c r="P16" i="1"/>
  <c r="P18" i="1"/>
  <c r="P20" i="1"/>
  <c r="P22" i="1"/>
  <c r="P24" i="1"/>
  <c r="P26" i="1"/>
  <c r="L33" i="1"/>
  <c r="P37" i="1"/>
  <c r="M46" i="1"/>
  <c r="P50" i="1"/>
  <c r="L57" i="1"/>
  <c r="P61" i="1"/>
  <c r="M70" i="1"/>
  <c r="P74" i="1"/>
  <c r="L81" i="1"/>
  <c r="P85" i="1"/>
  <c r="P94" i="1"/>
  <c r="L106" i="1"/>
  <c r="M108" i="1"/>
  <c r="M124" i="1"/>
  <c r="L142" i="1"/>
  <c r="Q155" i="1"/>
  <c r="M176" i="1"/>
  <c r="P179" i="1"/>
  <c r="L179" i="1"/>
  <c r="Q179" i="1"/>
  <c r="M179" i="1"/>
  <c r="P192" i="1"/>
  <c r="L192" i="1"/>
  <c r="L217" i="1"/>
  <c r="P217" i="1"/>
  <c r="P220" i="1"/>
  <c r="M220" i="1"/>
  <c r="L220" i="1"/>
  <c r="Q250" i="1"/>
  <c r="Q267" i="1"/>
  <c r="P267" i="1"/>
  <c r="P271" i="1"/>
  <c r="M271" i="1"/>
  <c r="L271" i="1"/>
  <c r="M313" i="1"/>
  <c r="L342" i="1"/>
  <c r="P381" i="1"/>
  <c r="P118" i="1"/>
  <c r="Q71" i="1"/>
  <c r="M6" i="1"/>
  <c r="M20" i="1"/>
  <c r="Q8" i="1"/>
  <c r="Q108" i="1"/>
  <c r="P156" i="1"/>
  <c r="L156" i="1"/>
  <c r="Q176" i="1"/>
  <c r="Q233" i="1"/>
  <c r="L261" i="1"/>
  <c r="P284" i="1"/>
  <c r="M284" i="1"/>
  <c r="L284" i="1"/>
  <c r="P437" i="1"/>
  <c r="L437" i="1"/>
  <c r="M437" i="1"/>
  <c r="Q437" i="1"/>
  <c r="P194" i="1"/>
  <c r="M194" i="1"/>
  <c r="L194" i="1"/>
  <c r="Q84" i="1"/>
  <c r="P35" i="1"/>
  <c r="P59" i="1"/>
  <c r="P83" i="1"/>
  <c r="Q129" i="1"/>
  <c r="P150" i="1"/>
  <c r="L150" i="1"/>
  <c r="L29" i="1"/>
  <c r="P33" i="1"/>
  <c r="L40" i="1"/>
  <c r="M42" i="1"/>
  <c r="L53" i="1"/>
  <c r="P57" i="1"/>
  <c r="L64" i="1"/>
  <c r="M66" i="1"/>
  <c r="L77" i="1"/>
  <c r="P81" i="1"/>
  <c r="L88" i="1"/>
  <c r="Q90" i="1"/>
  <c r="P102" i="1"/>
  <c r="M104" i="1"/>
  <c r="Q106" i="1"/>
  <c r="Q122" i="1"/>
  <c r="Q124" i="1"/>
  <c r="P130" i="1"/>
  <c r="Q142" i="1"/>
  <c r="M145" i="1"/>
  <c r="P147" i="1"/>
  <c r="M150" i="1"/>
  <c r="M156" i="1"/>
  <c r="P168" i="1"/>
  <c r="L168" i="1"/>
  <c r="Q192" i="1"/>
  <c r="P202" i="1"/>
  <c r="L202" i="1"/>
  <c r="P205" i="1"/>
  <c r="M205" i="1"/>
  <c r="Q220" i="1"/>
  <c r="M255" i="1"/>
  <c r="P255" i="1"/>
  <c r="Q271" i="1"/>
  <c r="P278" i="1"/>
  <c r="L278" i="1"/>
  <c r="P281" i="1"/>
  <c r="Q281" i="1"/>
  <c r="M281" i="1"/>
  <c r="P307" i="1"/>
  <c r="M307" i="1"/>
  <c r="L366" i="1"/>
  <c r="P403" i="1"/>
  <c r="P411" i="1"/>
  <c r="P425" i="1"/>
  <c r="M425" i="1"/>
  <c r="L425" i="1"/>
  <c r="L89" i="1"/>
  <c r="P188" i="1"/>
  <c r="M188" i="1"/>
  <c r="L188" i="1"/>
  <c r="P140" i="1"/>
  <c r="M140" i="1"/>
  <c r="L140" i="1"/>
  <c r="Q243" i="1"/>
  <c r="P243" i="1"/>
  <c r="P248" i="1"/>
  <c r="L248" i="1"/>
  <c r="P261" i="1"/>
  <c r="M366" i="1"/>
  <c r="L146" i="1"/>
  <c r="P148" i="1"/>
  <c r="P29" i="1"/>
  <c r="L49" i="1"/>
  <c r="P53" i="1"/>
  <c r="L73" i="1"/>
  <c r="P77" i="1"/>
  <c r="Q88" i="1"/>
  <c r="L148" i="1"/>
  <c r="Q153" i="1"/>
  <c r="Q156" i="1"/>
  <c r="L174" i="1"/>
  <c r="P187" i="1"/>
  <c r="M187" i="1"/>
  <c r="P200" i="1"/>
  <c r="Q205" i="1"/>
  <c r="M211" i="1"/>
  <c r="P237" i="1"/>
  <c r="P244" i="1"/>
  <c r="M244" i="1"/>
  <c r="Q244" i="1"/>
  <c r="L244" i="1"/>
  <c r="M248" i="1"/>
  <c r="L272" i="1"/>
  <c r="Q278" i="1"/>
  <c r="P357" i="1"/>
  <c r="Q366" i="1"/>
  <c r="M412" i="1"/>
  <c r="P412" i="1"/>
  <c r="L412" i="1"/>
  <c r="L517" i="1"/>
  <c r="M517" i="1"/>
  <c r="P517" i="1"/>
  <c r="L602" i="1"/>
  <c r="M602" i="1"/>
  <c r="P602" i="1"/>
  <c r="P471" i="1"/>
  <c r="M471" i="1"/>
  <c r="L471" i="1"/>
  <c r="Q471" i="1"/>
  <c r="P223" i="1"/>
  <c r="M223" i="1"/>
  <c r="L223" i="1"/>
  <c r="Q255" i="1"/>
  <c r="Q272" i="1"/>
  <c r="Q284" i="1"/>
  <c r="P290" i="1"/>
  <c r="M290" i="1"/>
  <c r="L290" i="1"/>
  <c r="P302" i="1"/>
  <c r="L302" i="1"/>
  <c r="P319" i="1"/>
  <c r="M319" i="1"/>
  <c r="L319" i="1"/>
  <c r="P364" i="1"/>
  <c r="Q364" i="1"/>
  <c r="M364" i="1"/>
  <c r="P373" i="1"/>
  <c r="M373" i="1"/>
  <c r="L373" i="1"/>
  <c r="L581" i="1"/>
  <c r="M581" i="1"/>
  <c r="P581" i="1"/>
  <c r="Q168" i="1"/>
  <c r="P198" i="1"/>
  <c r="Q211" i="1"/>
  <c r="P229" i="1"/>
  <c r="M229" i="1"/>
  <c r="L229" i="1"/>
  <c r="P235" i="1"/>
  <c r="Q261" i="1"/>
  <c r="Q290" i="1"/>
  <c r="L296" i="1"/>
  <c r="M302" i="1"/>
  <c r="Q307" i="1"/>
  <c r="P325" i="1"/>
  <c r="M325" i="1"/>
  <c r="L325" i="1"/>
  <c r="P331" i="1"/>
  <c r="P340" i="1"/>
  <c r="M340" i="1"/>
  <c r="Q342" i="1"/>
  <c r="L364" i="1"/>
  <c r="Q373" i="1"/>
  <c r="P398" i="1"/>
  <c r="Q419" i="1"/>
  <c r="M419" i="1"/>
  <c r="Q581" i="1"/>
  <c r="P308" i="1"/>
  <c r="M308" i="1"/>
  <c r="L308" i="1"/>
  <c r="Q343" i="1"/>
  <c r="P343" i="1"/>
  <c r="M343" i="1"/>
  <c r="L343" i="1"/>
  <c r="P349" i="1"/>
  <c r="M349" i="1"/>
  <c r="L349" i="1"/>
  <c r="Q355" i="1"/>
  <c r="Q379" i="1"/>
  <c r="P379" i="1"/>
  <c r="L551" i="1"/>
  <c r="P551" i="1"/>
  <c r="L559" i="1"/>
  <c r="P559" i="1"/>
  <c r="M559" i="1"/>
  <c r="Q212" i="1"/>
  <c r="P218" i="1"/>
  <c r="M218" i="1"/>
  <c r="L218" i="1"/>
  <c r="P224" i="1"/>
  <c r="P230" i="1"/>
  <c r="L230" i="1"/>
  <c r="P247" i="1"/>
  <c r="M247" i="1"/>
  <c r="L247" i="1"/>
  <c r="Q296" i="1"/>
  <c r="Q308" i="1"/>
  <c r="P314" i="1"/>
  <c r="M314" i="1"/>
  <c r="L314" i="1"/>
  <c r="P320" i="1"/>
  <c r="P326" i="1"/>
  <c r="L326" i="1"/>
  <c r="M331" i="1"/>
  <c r="Q349" i="1"/>
  <c r="Q353" i="1"/>
  <c r="P353" i="1"/>
  <c r="L368" i="1"/>
  <c r="P385" i="1"/>
  <c r="L396" i="1"/>
  <c r="P399" i="1"/>
  <c r="M399" i="1"/>
  <c r="L399" i="1"/>
  <c r="M406" i="1"/>
  <c r="Q406" i="1"/>
  <c r="L406" i="1"/>
  <c r="P430" i="1"/>
  <c r="M430" i="1"/>
  <c r="Q430" i="1"/>
  <c r="P455" i="1"/>
  <c r="M455" i="1"/>
  <c r="Q455" i="1"/>
  <c r="M551" i="1"/>
  <c r="P578" i="1"/>
  <c r="L578" i="1"/>
  <c r="M578" i="1"/>
  <c r="P253" i="1"/>
  <c r="M253" i="1"/>
  <c r="L253" i="1"/>
  <c r="P362" i="1"/>
  <c r="M362" i="1"/>
  <c r="L362" i="1"/>
  <c r="P560" i="1"/>
  <c r="Q560" i="1"/>
  <c r="M560" i="1"/>
  <c r="L560" i="1"/>
  <c r="P164" i="1"/>
  <c r="M164" i="1"/>
  <c r="L164" i="1"/>
  <c r="Q174" i="1"/>
  <c r="Q188" i="1"/>
  <c r="M196" i="1"/>
  <c r="P199" i="1"/>
  <c r="M199" i="1"/>
  <c r="L199" i="1"/>
  <c r="M207" i="1"/>
  <c r="M224" i="1"/>
  <c r="P236" i="1"/>
  <c r="M236" i="1"/>
  <c r="L236" i="1"/>
  <c r="Q253" i="1"/>
  <c r="L259" i="1"/>
  <c r="M265" i="1"/>
  <c r="P268" i="1"/>
  <c r="M268" i="1"/>
  <c r="Q270" i="1"/>
  <c r="P274" i="1"/>
  <c r="P285" i="1"/>
  <c r="L303" i="1"/>
  <c r="L329" i="1"/>
  <c r="P332" i="1"/>
  <c r="M332" i="1"/>
  <c r="L332" i="1"/>
  <c r="P338" i="1"/>
  <c r="M338" i="1"/>
  <c r="L338" i="1"/>
  <c r="L344" i="1"/>
  <c r="M353" i="1"/>
  <c r="Q362" i="1"/>
  <c r="Q368" i="1"/>
  <c r="M386" i="1"/>
  <c r="P386" i="1"/>
  <c r="L386" i="1"/>
  <c r="P393" i="1"/>
  <c r="M393" i="1"/>
  <c r="L393" i="1"/>
  <c r="P396" i="1"/>
  <c r="L552" i="1"/>
  <c r="P552" i="1"/>
  <c r="M552" i="1"/>
  <c r="Q552" i="1"/>
  <c r="P375" i="1"/>
  <c r="M375" i="1"/>
  <c r="P407" i="1"/>
  <c r="M407" i="1"/>
  <c r="L407" i="1"/>
  <c r="Q450" i="1"/>
  <c r="P450" i="1"/>
  <c r="P481" i="1"/>
  <c r="Q481" i="1"/>
  <c r="M481" i="1"/>
  <c r="L481" i="1"/>
  <c r="P506" i="1"/>
  <c r="M506" i="1"/>
  <c r="L516" i="1"/>
  <c r="P516" i="1"/>
  <c r="Q516" i="1"/>
  <c r="P548" i="1"/>
  <c r="Q548" i="1"/>
  <c r="M548" i="1"/>
  <c r="L548" i="1"/>
  <c r="Q100" i="1"/>
  <c r="M127" i="1"/>
  <c r="L127" i="1"/>
  <c r="P132" i="1"/>
  <c r="Q146" i="1"/>
  <c r="P154" i="1"/>
  <c r="P170" i="1"/>
  <c r="M170" i="1"/>
  <c r="P178" i="1"/>
  <c r="Q183" i="1"/>
  <c r="Q196" i="1"/>
  <c r="Q213" i="1"/>
  <c r="Q242" i="1"/>
  <c r="Q259" i="1"/>
  <c r="P265" i="1"/>
  <c r="M274" i="1"/>
  <c r="P277" i="1"/>
  <c r="M277" i="1"/>
  <c r="L277" i="1"/>
  <c r="P283" i="1"/>
  <c r="M294" i="1"/>
  <c r="P303" i="1"/>
  <c r="Q309" i="1"/>
  <c r="Q344" i="1"/>
  <c r="P351" i="1"/>
  <c r="M351" i="1"/>
  <c r="L375" i="1"/>
  <c r="Q407" i="1"/>
  <c r="M414" i="1"/>
  <c r="P414" i="1"/>
  <c r="M427" i="1"/>
  <c r="M445" i="1"/>
  <c r="P487" i="1"/>
  <c r="L499" i="1"/>
  <c r="P499" i="1"/>
  <c r="M499" i="1"/>
  <c r="L506" i="1"/>
  <c r="M516" i="1"/>
  <c r="L533" i="1"/>
  <c r="M533" i="1"/>
  <c r="P533" i="1"/>
  <c r="Q630" i="1"/>
  <c r="P630" i="1"/>
  <c r="Q644" i="1"/>
  <c r="P417" i="1"/>
  <c r="M417" i="1"/>
  <c r="L417" i="1"/>
  <c r="Q533" i="1"/>
  <c r="L216" i="1"/>
  <c r="L227" i="1"/>
  <c r="L240" i="1"/>
  <c r="L251" i="1"/>
  <c r="L264" i="1"/>
  <c r="L275" i="1"/>
  <c r="L288" i="1"/>
  <c r="L299" i="1"/>
  <c r="L312" i="1"/>
  <c r="L323" i="1"/>
  <c r="L336" i="1"/>
  <c r="L347" i="1"/>
  <c r="L360" i="1"/>
  <c r="L371" i="1"/>
  <c r="L384" i="1"/>
  <c r="Q386" i="1"/>
  <c r="Q412" i="1"/>
  <c r="L420" i="1"/>
  <c r="P468" i="1"/>
  <c r="P496" i="1"/>
  <c r="L496" i="1"/>
  <c r="L569" i="1"/>
  <c r="M569" i="1"/>
  <c r="P569" i="1"/>
  <c r="L619" i="1"/>
  <c r="P619" i="1"/>
  <c r="M619" i="1"/>
  <c r="Q399" i="1"/>
  <c r="Q417" i="1"/>
  <c r="Q425" i="1"/>
  <c r="P428" i="1"/>
  <c r="M428" i="1"/>
  <c r="L428" i="1"/>
  <c r="P461" i="1"/>
  <c r="L461" i="1"/>
  <c r="P469" i="1"/>
  <c r="L469" i="1"/>
  <c r="Q485" i="1"/>
  <c r="P485" i="1"/>
  <c r="L513" i="1"/>
  <c r="P513" i="1"/>
  <c r="M513" i="1"/>
  <c r="L609" i="1"/>
  <c r="P609" i="1"/>
  <c r="M609" i="1"/>
  <c r="P138" i="1"/>
  <c r="P162" i="1"/>
  <c r="M166" i="1"/>
  <c r="P186" i="1"/>
  <c r="M190" i="1"/>
  <c r="P210" i="1"/>
  <c r="M214" i="1"/>
  <c r="M225" i="1"/>
  <c r="P234" i="1"/>
  <c r="M238" i="1"/>
  <c r="M249" i="1"/>
  <c r="P258" i="1"/>
  <c r="M262" i="1"/>
  <c r="M273" i="1"/>
  <c r="P282" i="1"/>
  <c r="M286" i="1"/>
  <c r="M297" i="1"/>
  <c r="P306" i="1"/>
  <c r="M310" i="1"/>
  <c r="M321" i="1"/>
  <c r="P330" i="1"/>
  <c r="M334" i="1"/>
  <c r="M345" i="1"/>
  <c r="P354" i="1"/>
  <c r="L356" i="1"/>
  <c r="M358" i="1"/>
  <c r="L367" i="1"/>
  <c r="M369" i="1"/>
  <c r="L380" i="1"/>
  <c r="M382" i="1"/>
  <c r="M387" i="1"/>
  <c r="P389" i="1"/>
  <c r="M397" i="1"/>
  <c r="M400" i="1"/>
  <c r="L400" i="1"/>
  <c r="L405" i="1"/>
  <c r="M410" i="1"/>
  <c r="P410" i="1"/>
  <c r="P420" i="1"/>
  <c r="M443" i="1"/>
  <c r="Q448" i="1"/>
  <c r="P448" i="1"/>
  <c r="M461" i="1"/>
  <c r="M469" i="1"/>
  <c r="P530" i="1"/>
  <c r="M530" i="1"/>
  <c r="M544" i="1"/>
  <c r="P544" i="1"/>
  <c r="L544" i="1"/>
  <c r="M566" i="1"/>
  <c r="L570" i="1"/>
  <c r="P570" i="1"/>
  <c r="M570" i="1"/>
  <c r="Q609" i="1"/>
  <c r="L615" i="1"/>
  <c r="P615" i="1"/>
  <c r="M615" i="1"/>
  <c r="P136" i="1"/>
  <c r="L138" i="1"/>
  <c r="P160" i="1"/>
  <c r="L162" i="1"/>
  <c r="P184" i="1"/>
  <c r="L186" i="1"/>
  <c r="P208" i="1"/>
  <c r="L210" i="1"/>
  <c r="P232" i="1"/>
  <c r="L234" i="1"/>
  <c r="P256" i="1"/>
  <c r="L258" i="1"/>
  <c r="P280" i="1"/>
  <c r="L282" i="1"/>
  <c r="P304" i="1"/>
  <c r="L306" i="1"/>
  <c r="P328" i="1"/>
  <c r="L330" i="1"/>
  <c r="P352" i="1"/>
  <c r="L354" i="1"/>
  <c r="M356" i="1"/>
  <c r="M367" i="1"/>
  <c r="L378" i="1"/>
  <c r="M380" i="1"/>
  <c r="Q384" i="1"/>
  <c r="L392" i="1"/>
  <c r="Q395" i="1"/>
  <c r="M395" i="1"/>
  <c r="M405" i="1"/>
  <c r="L410" i="1"/>
  <c r="L418" i="1"/>
  <c r="L423" i="1"/>
  <c r="Q428" i="1"/>
  <c r="L441" i="1"/>
  <c r="Q443" i="1"/>
  <c r="P449" i="1"/>
  <c r="L449" i="1"/>
  <c r="Q469" i="1"/>
  <c r="L509" i="1"/>
  <c r="M509" i="1"/>
  <c r="P509" i="1"/>
  <c r="L523" i="1"/>
  <c r="P523" i="1"/>
  <c r="M523" i="1"/>
  <c r="L530" i="1"/>
  <c r="L540" i="1"/>
  <c r="P540" i="1"/>
  <c r="M540" i="1"/>
  <c r="L605" i="1"/>
  <c r="M605" i="1"/>
  <c r="P350" i="1"/>
  <c r="P387" i="1"/>
  <c r="M408" i="1"/>
  <c r="P408" i="1"/>
  <c r="P429" i="1"/>
  <c r="Q444" i="1"/>
  <c r="M444" i="1"/>
  <c r="Q461" i="1"/>
  <c r="Q509" i="1"/>
  <c r="L519" i="1"/>
  <c r="P519" i="1"/>
  <c r="L571" i="1"/>
  <c r="P571" i="1"/>
  <c r="M571" i="1"/>
  <c r="L589" i="1"/>
  <c r="M589" i="1"/>
  <c r="P180" i="1"/>
  <c r="P204" i="1"/>
  <c r="P228" i="1"/>
  <c r="P252" i="1"/>
  <c r="P276" i="1"/>
  <c r="P300" i="1"/>
  <c r="P324" i="1"/>
  <c r="L337" i="1"/>
  <c r="P348" i="1"/>
  <c r="L350" i="1"/>
  <c r="P367" i="1"/>
  <c r="L374" i="1"/>
  <c r="Q380" i="1"/>
  <c r="Q387" i="1"/>
  <c r="L390" i="1"/>
  <c r="P392" i="1"/>
  <c r="Q400" i="1"/>
  <c r="P405" i="1"/>
  <c r="L408" i="1"/>
  <c r="P418" i="1"/>
  <c r="L421" i="1"/>
  <c r="Q423" i="1"/>
  <c r="L429" i="1"/>
  <c r="P439" i="1"/>
  <c r="M439" i="1"/>
  <c r="L444" i="1"/>
  <c r="Q464" i="1"/>
  <c r="P464" i="1"/>
  <c r="L490" i="1"/>
  <c r="M490" i="1"/>
  <c r="P490" i="1"/>
  <c r="M519" i="1"/>
  <c r="Q540" i="1"/>
  <c r="L558" i="1"/>
  <c r="P558" i="1"/>
  <c r="M558" i="1"/>
  <c r="L601" i="1"/>
  <c r="M601" i="1"/>
  <c r="P601" i="1"/>
  <c r="P605" i="1"/>
  <c r="P346" i="1"/>
  <c r="M350" i="1"/>
  <c r="M424" i="1"/>
  <c r="L424" i="1"/>
  <c r="P432" i="1"/>
  <c r="Q558" i="1"/>
  <c r="L563" i="1"/>
  <c r="P563" i="1"/>
  <c r="M563" i="1"/>
  <c r="P589" i="1"/>
  <c r="P592" i="1"/>
  <c r="L626" i="1"/>
  <c r="P626" i="1"/>
  <c r="L634" i="1"/>
  <c r="M634" i="1"/>
  <c r="L639" i="1"/>
  <c r="P639" i="1"/>
  <c r="M639" i="1"/>
  <c r="P457" i="1"/>
  <c r="L485" i="1"/>
  <c r="M485" i="1"/>
  <c r="L503" i="1"/>
  <c r="P503" i="1"/>
  <c r="L510" i="1"/>
  <c r="P510" i="1"/>
  <c r="L527" i="1"/>
  <c r="P527" i="1"/>
  <c r="L534" i="1"/>
  <c r="P534" i="1"/>
  <c r="L541" i="1"/>
  <c r="M541" i="1"/>
  <c r="Q551" i="1"/>
  <c r="Q570" i="1"/>
  <c r="L593" i="1"/>
  <c r="M593" i="1"/>
  <c r="P593" i="1"/>
  <c r="L610" i="1"/>
  <c r="P610" i="1"/>
  <c r="M610" i="1"/>
  <c r="L623" i="1"/>
  <c r="P623" i="1"/>
  <c r="M623" i="1"/>
  <c r="L491" i="1"/>
  <c r="M491" i="1"/>
  <c r="Q496" i="1"/>
  <c r="L583" i="1"/>
  <c r="P583" i="1"/>
  <c r="M583" i="1"/>
  <c r="L598" i="1"/>
  <c r="M598" i="1"/>
  <c r="Q602" i="1"/>
  <c r="L606" i="1"/>
  <c r="P606" i="1"/>
  <c r="L611" i="1"/>
  <c r="P611" i="1"/>
  <c r="M611" i="1"/>
  <c r="Q615" i="1"/>
  <c r="Q619" i="1"/>
  <c r="P488" i="1"/>
  <c r="L504" i="1"/>
  <c r="P504" i="1"/>
  <c r="L507" i="1"/>
  <c r="P507" i="1"/>
  <c r="M514" i="1"/>
  <c r="P520" i="1"/>
  <c r="L528" i="1"/>
  <c r="P528" i="1"/>
  <c r="L531" i="1"/>
  <c r="P531" i="1"/>
  <c r="M538" i="1"/>
  <c r="L545" i="1"/>
  <c r="M545" i="1"/>
  <c r="P545" i="1"/>
  <c r="Q563" i="1"/>
  <c r="L575" i="1"/>
  <c r="P575" i="1"/>
  <c r="L587" i="1"/>
  <c r="P587" i="1"/>
  <c r="M606" i="1"/>
  <c r="Q620" i="1"/>
  <c r="M620" i="1"/>
  <c r="L620" i="1"/>
  <c r="L636" i="1"/>
  <c r="Q636" i="1"/>
  <c r="P636" i="1"/>
  <c r="M636" i="1"/>
  <c r="P479" i="1"/>
  <c r="M486" i="1"/>
  <c r="P491" i="1"/>
  <c r="L494" i="1"/>
  <c r="L497" i="1"/>
  <c r="M497" i="1"/>
  <c r="P497" i="1"/>
  <c r="M504" i="1"/>
  <c r="M507" i="1"/>
  <c r="L511" i="1"/>
  <c r="P511" i="1"/>
  <c r="M511" i="1"/>
  <c r="L521" i="1"/>
  <c r="M521" i="1"/>
  <c r="P521" i="1"/>
  <c r="M528" i="1"/>
  <c r="M531" i="1"/>
  <c r="L535" i="1"/>
  <c r="P535" i="1"/>
  <c r="M535" i="1"/>
  <c r="L542" i="1"/>
  <c r="Q545" i="1"/>
  <c r="L553" i="1"/>
  <c r="M553" i="1"/>
  <c r="L564" i="1"/>
  <c r="Q564" i="1"/>
  <c r="P564" i="1"/>
  <c r="M564" i="1"/>
  <c r="L572" i="1"/>
  <c r="M575" i="1"/>
  <c r="Q584" i="1"/>
  <c r="P584" i="1"/>
  <c r="M587" i="1"/>
  <c r="P598" i="1"/>
  <c r="L603" i="1"/>
  <c r="P603" i="1"/>
  <c r="Q606" i="1"/>
  <c r="L612" i="1"/>
  <c r="M612" i="1"/>
  <c r="L616" i="1"/>
  <c r="L404" i="1"/>
  <c r="P433" i="1"/>
  <c r="P451" i="1"/>
  <c r="L453" i="1"/>
  <c r="L465" i="1"/>
  <c r="L479" i="1"/>
  <c r="M494" i="1"/>
  <c r="Q497" i="1"/>
  <c r="L501" i="1"/>
  <c r="P501" i="1"/>
  <c r="P514" i="1"/>
  <c r="Q521" i="1"/>
  <c r="L525" i="1"/>
  <c r="P525" i="1"/>
  <c r="P538" i="1"/>
  <c r="M542" i="1"/>
  <c r="L546" i="1"/>
  <c r="P546" i="1"/>
  <c r="M546" i="1"/>
  <c r="M572" i="1"/>
  <c r="Q575" i="1"/>
  <c r="L584" i="1"/>
  <c r="Q587" i="1"/>
  <c r="M603" i="1"/>
  <c r="M616" i="1"/>
  <c r="P620" i="1"/>
  <c r="L637" i="1"/>
  <c r="M637" i="1"/>
  <c r="P637" i="1"/>
  <c r="P477" i="1"/>
  <c r="L498" i="1"/>
  <c r="P498" i="1"/>
  <c r="L515" i="1"/>
  <c r="P515" i="1"/>
  <c r="L522" i="1"/>
  <c r="P522" i="1"/>
  <c r="L539" i="1"/>
  <c r="P539" i="1"/>
  <c r="L565" i="1"/>
  <c r="M565" i="1"/>
  <c r="L576" i="1"/>
  <c r="Q576" i="1"/>
  <c r="P576" i="1"/>
  <c r="M576" i="1"/>
  <c r="M584" i="1"/>
  <c r="P612" i="1"/>
  <c r="P404" i="1"/>
  <c r="P431" i="1"/>
  <c r="P447" i="1"/>
  <c r="P463" i="1"/>
  <c r="M463" i="1"/>
  <c r="P472" i="1"/>
  <c r="L477" i="1"/>
  <c r="Q486" i="1"/>
  <c r="M498" i="1"/>
  <c r="L505" i="1"/>
  <c r="M505" i="1"/>
  <c r="L508" i="1"/>
  <c r="L512" i="1"/>
  <c r="M515" i="1"/>
  <c r="M522" i="1"/>
  <c r="L529" i="1"/>
  <c r="M529" i="1"/>
  <c r="L532" i="1"/>
  <c r="L536" i="1"/>
  <c r="M539" i="1"/>
  <c r="M550" i="1"/>
  <c r="L557" i="1"/>
  <c r="M557" i="1"/>
  <c r="P557" i="1"/>
  <c r="Q572" i="1"/>
  <c r="M608" i="1"/>
  <c r="L608" i="1"/>
  <c r="P608" i="1"/>
  <c r="Q612" i="1"/>
  <c r="L638" i="1"/>
  <c r="P638" i="1"/>
  <c r="M638" i="1"/>
  <c r="P475" i="1"/>
  <c r="L495" i="1"/>
  <c r="P495" i="1"/>
  <c r="Q508" i="1"/>
  <c r="M512" i="1"/>
  <c r="Q515" i="1"/>
  <c r="Q532" i="1"/>
  <c r="M536" i="1"/>
  <c r="Q539" i="1"/>
  <c r="L547" i="1"/>
  <c r="P547" i="1"/>
  <c r="M547" i="1"/>
  <c r="P565" i="1"/>
  <c r="L577" i="1"/>
  <c r="M577" i="1"/>
  <c r="L600" i="1"/>
  <c r="Q600" i="1"/>
  <c r="P600" i="1"/>
  <c r="L613" i="1"/>
  <c r="M613" i="1"/>
  <c r="P613" i="1"/>
  <c r="P625" i="1"/>
  <c r="L629" i="1"/>
  <c r="M629" i="1"/>
  <c r="P629" i="1"/>
  <c r="Q638" i="1"/>
  <c r="Q511" i="1"/>
  <c r="Q514" i="1"/>
  <c r="Q517" i="1"/>
  <c r="Q523" i="1"/>
  <c r="Q526" i="1"/>
  <c r="Q529" i="1"/>
  <c r="Q535" i="1"/>
  <c r="Q538" i="1"/>
  <c r="Q541" i="1"/>
  <c r="Q547" i="1"/>
  <c r="Q550" i="1"/>
  <c r="Q553" i="1"/>
  <c r="Q559" i="1"/>
  <c r="Q562" i="1"/>
  <c r="Q565" i="1"/>
  <c r="Q571" i="1"/>
  <c r="Q574" i="1"/>
  <c r="Q577" i="1"/>
  <c r="Q583" i="1"/>
  <c r="Q589" i="1"/>
  <c r="L599" i="1"/>
  <c r="P599" i="1"/>
  <c r="Q605" i="1"/>
  <c r="L625" i="1"/>
  <c r="M625" i="1"/>
  <c r="L635" i="1"/>
  <c r="P635" i="1"/>
  <c r="L645" i="1"/>
  <c r="P645" i="1"/>
  <c r="M645" i="1"/>
  <c r="L649" i="1"/>
  <c r="P649" i="1"/>
  <c r="M649" i="1"/>
  <c r="Q645" i="1"/>
  <c r="Q649" i="1"/>
  <c r="P467" i="1"/>
  <c r="P492" i="1"/>
  <c r="M492" i="1"/>
  <c r="Q494" i="1"/>
  <c r="Q506" i="1"/>
  <c r="Q518" i="1"/>
  <c r="Q530" i="1"/>
  <c r="Q542" i="1"/>
  <c r="Q554" i="1"/>
  <c r="Q566" i="1"/>
  <c r="Q578" i="1"/>
  <c r="Q590" i="1"/>
  <c r="Q603" i="1"/>
  <c r="Q613" i="1"/>
  <c r="Q616" i="1"/>
  <c r="Q626" i="1"/>
  <c r="Q639" i="1"/>
  <c r="P642" i="1"/>
  <c r="L597" i="1"/>
  <c r="P597" i="1"/>
  <c r="M597" i="1"/>
  <c r="L607" i="1"/>
  <c r="P607" i="1"/>
  <c r="M607" i="1"/>
  <c r="Q610" i="1"/>
  <c r="Q623" i="1"/>
  <c r="L633" i="1"/>
  <c r="P633" i="1"/>
  <c r="M633" i="1"/>
  <c r="L643" i="1"/>
  <c r="P643" i="1"/>
  <c r="M643" i="1"/>
  <c r="P646" i="1"/>
  <c r="L537" i="1"/>
  <c r="P537" i="1"/>
  <c r="L543" i="1"/>
  <c r="P543" i="1"/>
  <c r="L549" i="1"/>
  <c r="P549" i="1"/>
  <c r="L555" i="1"/>
  <c r="P555" i="1"/>
  <c r="L561" i="1"/>
  <c r="P561" i="1"/>
  <c r="L567" i="1"/>
  <c r="P567" i="1"/>
  <c r="L573" i="1"/>
  <c r="P573" i="1"/>
  <c r="L579" i="1"/>
  <c r="P579" i="1"/>
  <c r="M582" i="1"/>
  <c r="L585" i="1"/>
  <c r="P585" i="1"/>
  <c r="L591" i="1"/>
  <c r="P591" i="1"/>
  <c r="L617" i="1"/>
  <c r="M617" i="1"/>
  <c r="L627" i="1"/>
  <c r="P627" i="1"/>
  <c r="M630" i="1"/>
  <c r="Q633" i="1"/>
  <c r="L640" i="1"/>
  <c r="L647" i="1"/>
  <c r="P647" i="1"/>
  <c r="M647" i="1"/>
  <c r="P435" i="1"/>
  <c r="P459" i="1"/>
  <c r="P483" i="1"/>
  <c r="Q495" i="1"/>
  <c r="Q501" i="1"/>
  <c r="Q507" i="1"/>
  <c r="Q513" i="1"/>
  <c r="Q519" i="1"/>
  <c r="Q525" i="1"/>
  <c r="Q531" i="1"/>
  <c r="Q537" i="1"/>
  <c r="Q543" i="1"/>
  <c r="Q549" i="1"/>
  <c r="Q555" i="1"/>
  <c r="Q561" i="1"/>
  <c r="Q567" i="1"/>
  <c r="Q573" i="1"/>
  <c r="Q579" i="1"/>
  <c r="P582" i="1"/>
  <c r="Q585" i="1"/>
  <c r="P588" i="1"/>
  <c r="Q591" i="1"/>
  <c r="P594" i="1"/>
  <c r="Q601" i="1"/>
  <c r="Q604" i="1"/>
  <c r="Q614" i="1"/>
  <c r="P617" i="1"/>
  <c r="Q637" i="1"/>
  <c r="Q588" i="1"/>
  <c r="L595" i="1"/>
  <c r="P595" i="1"/>
  <c r="M595" i="1"/>
  <c r="Q598" i="1"/>
  <c r="Q611" i="1"/>
  <c r="P614" i="1"/>
  <c r="L621" i="1"/>
  <c r="P621" i="1"/>
  <c r="M621" i="1"/>
  <c r="P624" i="1"/>
  <c r="L631" i="1"/>
  <c r="P631" i="1"/>
  <c r="M631" i="1"/>
  <c r="Q634" i="1"/>
  <c r="P651" i="1"/>
  <c r="L652" i="1"/>
  <c r="M652" i="1"/>
  <c r="L650" i="1"/>
  <c r="M650" i="1"/>
  <c r="L648" i="1"/>
  <c r="Q643" i="1"/>
  <c r="P653" i="1"/>
  <c r="L653" i="1"/>
  <c r="M641" i="1"/>
  <c r="M653" i="1"/>
  <c r="Q653" i="1"/>
</calcChain>
</file>

<file path=xl/sharedStrings.xml><?xml version="1.0" encoding="utf-8"?>
<sst xmlns="http://schemas.openxmlformats.org/spreadsheetml/2006/main" count="7122" uniqueCount="2751">
  <si>
    <t>INSURED</t>
  </si>
  <si>
    <t>REG NUMBER</t>
  </si>
  <si>
    <t>CLAIM No.</t>
  </si>
  <si>
    <t>SUM INSURED</t>
  </si>
  <si>
    <t>TPPD</t>
  </si>
  <si>
    <t>TPI</t>
  </si>
  <si>
    <t>COVER PERIOD</t>
  </si>
  <si>
    <t>DATE OF LOSS</t>
  </si>
  <si>
    <t>date of loss</t>
  </si>
  <si>
    <t>year of loss</t>
  </si>
  <si>
    <t>INTIMATION DATE</t>
  </si>
  <si>
    <t>delay in moths</t>
  </si>
  <si>
    <t>delay in years</t>
  </si>
  <si>
    <t>STATUS</t>
  </si>
  <si>
    <t>RESERVE</t>
  </si>
  <si>
    <t>CLASS</t>
  </si>
  <si>
    <t>401 - MOTOR PRIVATE</t>
  </si>
  <si>
    <t>SWEETHEN MUSONDA</t>
  </si>
  <si>
    <t>RTA INVOLVING TO HONDA FIT AID 6604ZM</t>
  </si>
  <si>
    <t>010/401/1/080651/1015</t>
  </si>
  <si>
    <t>MATONGA  BANDLA - UNREGISTRED HONDA FIT</t>
  </si>
  <si>
    <t>N/A</t>
  </si>
  <si>
    <t>SETTLED</t>
  </si>
  <si>
    <t>MOTOR PRIVATE</t>
  </si>
  <si>
    <t>NDANJI KELLY CHONGO CAA 8878</t>
  </si>
  <si>
    <t>RTA MITSUBISHI XPANDER CAA 8878</t>
  </si>
  <si>
    <t>010/401/9/000023/2025/11</t>
  </si>
  <si>
    <t>01.07.2025</t>
  </si>
  <si>
    <t>30.06.2026</t>
  </si>
  <si>
    <t>19.11.2025</t>
  </si>
  <si>
    <t>26.11.2025</t>
  </si>
  <si>
    <t>REDPATH MINING CONTRACTORS</t>
  </si>
  <si>
    <t>RTA TO TOYOTA HILUX BAA 8795</t>
  </si>
  <si>
    <t>010/401/9/000024/2025/11</t>
  </si>
  <si>
    <t>30.06.2025</t>
  </si>
  <si>
    <t>10.11.2025</t>
  </si>
  <si>
    <t>03.12.2025</t>
  </si>
  <si>
    <t>PENDING ASSESSOR'S REPORT</t>
  </si>
  <si>
    <t>NICOLE LOMBE</t>
  </si>
  <si>
    <t>RTA TO HONDA CRV BAA 4131</t>
  </si>
  <si>
    <t>010/401/9/000026/2025/12</t>
  </si>
  <si>
    <t>20.11.2025</t>
  </si>
  <si>
    <t>01.12.2025</t>
  </si>
  <si>
    <t>INVOICE RECEIVED ON 24.12.2025</t>
  </si>
  <si>
    <t>LUNDA JACOB LUSHINGA</t>
  </si>
  <si>
    <t>RTA TO TOYOTA LANDCRUISER ALH 7415</t>
  </si>
  <si>
    <t>010/401/9/000028/2025/12</t>
  </si>
  <si>
    <t>22.09.2025</t>
  </si>
  <si>
    <t>22.03.2026</t>
  </si>
  <si>
    <t>09.12.2025</t>
  </si>
  <si>
    <t>ASSESSOR'S REPORT RECEIVED</t>
  </si>
  <si>
    <t>PATRICIA MUPETA BOBO</t>
  </si>
  <si>
    <t>RTA TO TOYOTA IST CAE 2833</t>
  </si>
  <si>
    <t>010/401/9/000029/2025/12</t>
  </si>
  <si>
    <t>27.08.2025</t>
  </si>
  <si>
    <t>26.08.2025</t>
  </si>
  <si>
    <t>18.11.2025</t>
  </si>
  <si>
    <t>24.12.2025</t>
  </si>
  <si>
    <t>MWANSA MALEKANI</t>
  </si>
  <si>
    <t>RTA TO NISSAN JUKR BLC 9834</t>
  </si>
  <si>
    <t>010/401/9/000031/2025/12</t>
  </si>
  <si>
    <t>28.10.2025</t>
  </si>
  <si>
    <t>27.10.2026</t>
  </si>
  <si>
    <t>12.12.2025</t>
  </si>
  <si>
    <t>26.12.2025</t>
  </si>
  <si>
    <t>PENDING INVOICE FROM THE GARAGE</t>
  </si>
  <si>
    <t>GOLDEN OAKLET HOMEMART</t>
  </si>
  <si>
    <t>RTA TO TOYOTA HILUX BLA 9868</t>
  </si>
  <si>
    <t>010/401/9/000032/2025/12</t>
  </si>
  <si>
    <t>GIDEON ZULU - TOYOTA AXIO BBD 6880</t>
  </si>
  <si>
    <t>28.08.2025</t>
  </si>
  <si>
    <t>MISSING QUOTATIONS</t>
  </si>
  <si>
    <t xml:space="preserve">KESHA KULIMA </t>
  </si>
  <si>
    <t>RTA TO TOYOTA IST CAF 1722</t>
  </si>
  <si>
    <t>010/401/9/000035/2025/12</t>
  </si>
  <si>
    <t>27.09.2024</t>
  </si>
  <si>
    <t>30.09.2026</t>
  </si>
  <si>
    <t>16.12.2025</t>
  </si>
  <si>
    <t>PREMIM VERIFICATION</t>
  </si>
  <si>
    <t>MICAH MSHANGA</t>
  </si>
  <si>
    <t>RTA TO TOYOTA RUSH BAT 2761</t>
  </si>
  <si>
    <t>010/401/9/000036/2025/12</t>
  </si>
  <si>
    <t>LAMECK PHIRI</t>
  </si>
  <si>
    <t>RTA TO TOYOTA ALLION BAZ 2943</t>
  </si>
  <si>
    <t>010/401/9/000040/2025/12</t>
  </si>
  <si>
    <t>09.10.2025</t>
  </si>
  <si>
    <t>09.04.2026</t>
  </si>
  <si>
    <t>30.12.2025</t>
  </si>
  <si>
    <t>CLAIM RECEIVED ON 30.12.2025</t>
  </si>
  <si>
    <t>BARBRA MUKABAI</t>
  </si>
  <si>
    <t>TOYOTA RAV 4 BAB 11302</t>
  </si>
  <si>
    <t>010/401/9/000027/2025</t>
  </si>
  <si>
    <t>PENDING SIGNED DISCHARGE</t>
  </si>
  <si>
    <t>CLEMENT MWEPU</t>
  </si>
  <si>
    <t>WINDSCREEN - TOYOTA RAV4 ALP 51</t>
  </si>
  <si>
    <t>010/401/9/002252/2025</t>
  </si>
  <si>
    <t>08.06.2024</t>
  </si>
  <si>
    <t>19.05.2025</t>
  </si>
  <si>
    <t>31.12.2024</t>
  </si>
  <si>
    <t>20.01.2025</t>
  </si>
  <si>
    <t>HAMUNJO JEREMIA</t>
  </si>
  <si>
    <t>WINDSCREEN - NISSAN ATLAS ACK 2912</t>
  </si>
  <si>
    <t>010/401/9/021597/2024</t>
  </si>
  <si>
    <t>03.03.2025</t>
  </si>
  <si>
    <t>02.03.2026</t>
  </si>
  <si>
    <t>19.04.2025</t>
  </si>
  <si>
    <t>09.05.2025</t>
  </si>
  <si>
    <t xml:space="preserve">NDLOVU JONATHAN FELIX </t>
  </si>
  <si>
    <t>RTA TO TOYOTA VITZ BCF 6742</t>
  </si>
  <si>
    <t>010/401/9/0222511/2025</t>
  </si>
  <si>
    <t>01.10.2024</t>
  </si>
  <si>
    <t>30.09.2025</t>
  </si>
  <si>
    <t>06.02.2025</t>
  </si>
  <si>
    <t>04.03.2025</t>
  </si>
  <si>
    <t>LOMBE DANIEL BWALYA</t>
  </si>
  <si>
    <t>WINDSCREEN - TOYOTA WISH BCG 8858</t>
  </si>
  <si>
    <t>010/401/9/022285/2024</t>
  </si>
  <si>
    <t>06.06.2024</t>
  </si>
  <si>
    <t>01.10.2025</t>
  </si>
  <si>
    <t>28.10.2024</t>
  </si>
  <si>
    <t>03.01.2025</t>
  </si>
  <si>
    <t>INVOICE RECEIVED ON 06.02.2025</t>
  </si>
  <si>
    <t>IGNATIOUS KENNY MATAWE</t>
  </si>
  <si>
    <t>RTA TO TOYOTA RUNX BCD 3675</t>
  </si>
  <si>
    <t>010/401/9/022295/2025</t>
  </si>
  <si>
    <t>07.11.2024</t>
  </si>
  <si>
    <t>06.11.2025</t>
  </si>
  <si>
    <t>19.12.2024</t>
  </si>
  <si>
    <t>07.01.2025</t>
  </si>
  <si>
    <t>KAREN MWAPE CHISENGA</t>
  </si>
  <si>
    <t>RTA TO TOYOTA VITZ CAC 8827</t>
  </si>
  <si>
    <t>010/401/9/022296/2025</t>
  </si>
  <si>
    <t>BRIAN NKONDE</t>
  </si>
  <si>
    <t>19.11.2024</t>
  </si>
  <si>
    <t>17.12.2024</t>
  </si>
  <si>
    <t>10.01.2025</t>
  </si>
  <si>
    <t>OD INVOICE RECEIVED ON 19.09.2025</t>
  </si>
  <si>
    <t>GOLDMAN INSURANCE LTD</t>
  </si>
  <si>
    <t>RTA TO TOYOTA AXIO BAV 5290</t>
  </si>
  <si>
    <t>010/401/9/022299/2025</t>
  </si>
  <si>
    <t>01.01.2025</t>
  </si>
  <si>
    <t>31.12.2025</t>
  </si>
  <si>
    <t>08.01.2025</t>
  </si>
  <si>
    <t>09.01.2025</t>
  </si>
  <si>
    <t>JUSTINE NKOLE</t>
  </si>
  <si>
    <t>RTA TO TOYOTA PROBOX BAZ 1551</t>
  </si>
  <si>
    <t>010/401/9/022304/2025</t>
  </si>
  <si>
    <t>MUTAFELE KAPEMBWA</t>
  </si>
  <si>
    <t>RTA TO TOYOTA VITZ BAA 4662</t>
  </si>
  <si>
    <t>010/401/9/022305/2025</t>
  </si>
  <si>
    <t>25.07.2024</t>
  </si>
  <si>
    <t>24.07.2025</t>
  </si>
  <si>
    <t>02.01.2025</t>
  </si>
  <si>
    <t>DENNIS MWAMBA</t>
  </si>
  <si>
    <t>WINDSCREEN - TOYOTA MARK X BAV 2982</t>
  </si>
  <si>
    <t>010/401/9/022307/2025</t>
  </si>
  <si>
    <t>04.01.2024</t>
  </si>
  <si>
    <t>20.12.2024</t>
  </si>
  <si>
    <t>NASH MABUKU</t>
  </si>
  <si>
    <t>RTA TO MERCEDES BENZ AJD 7275</t>
  </si>
  <si>
    <t>010/401/9/022309/2025</t>
  </si>
  <si>
    <t>11.01.2024</t>
  </si>
  <si>
    <t>25.12.2024</t>
  </si>
  <si>
    <t>MAVIS LANGIWE BANDA</t>
  </si>
  <si>
    <t>RTA TO TOYOTA NOAH BLC 4676</t>
  </si>
  <si>
    <t>010/401/9/022311/2025</t>
  </si>
  <si>
    <t>01.02.2024</t>
  </si>
  <si>
    <t>31.01.2025</t>
  </si>
  <si>
    <t>GIVEN KAYUMA</t>
  </si>
  <si>
    <t>WINDSCREEN TOYOTA COROLLA AKB 3259</t>
  </si>
  <si>
    <t>010/401/9/022312/2025</t>
  </si>
  <si>
    <t>10.04.2024</t>
  </si>
  <si>
    <t>09.04.2025</t>
  </si>
  <si>
    <t>05.01.2025</t>
  </si>
  <si>
    <t>KELVIN KAANGA - LIVINGSTONE</t>
  </si>
  <si>
    <t>RTA TO TOYOTA LITEACE ABH 8763</t>
  </si>
  <si>
    <t>010/401/9/022313/2025</t>
  </si>
  <si>
    <t>01.01.2024</t>
  </si>
  <si>
    <t>24.12.224</t>
  </si>
  <si>
    <t>KAPIRI TRANSPORT</t>
  </si>
  <si>
    <t xml:space="preserve">RTA TO TOYOTA COROLLA </t>
  </si>
  <si>
    <t>010/401/9/022315/2025</t>
  </si>
  <si>
    <t>14.12.2024</t>
  </si>
  <si>
    <t>16.12.2024</t>
  </si>
  <si>
    <t>WINDSCREEN - HONDA CRV 4131</t>
  </si>
  <si>
    <t>010/401/9/022316/2025</t>
  </si>
  <si>
    <t>01.07.2024</t>
  </si>
  <si>
    <t>26.12.2024</t>
  </si>
  <si>
    <t>06.01.2025</t>
  </si>
  <si>
    <t>CHARLES NYIRONGO</t>
  </si>
  <si>
    <t>RTA YO NISSAN TIIDA ASB 3101</t>
  </si>
  <si>
    <t>010/401/9/022317/2025</t>
  </si>
  <si>
    <t>10.01.2024</t>
  </si>
  <si>
    <t>04.11.2024</t>
  </si>
  <si>
    <t>12.01.2025</t>
  </si>
  <si>
    <t>PETER MUSENGE</t>
  </si>
  <si>
    <t>RTA TO HINO TRUCK BLC 5080</t>
  </si>
  <si>
    <t>010/401/9/022326/2025</t>
  </si>
  <si>
    <t>14.02.2024</t>
  </si>
  <si>
    <t>13.02.2025</t>
  </si>
  <si>
    <t>MIKE BWALYA</t>
  </si>
  <si>
    <t>RTA TO TOYOTA RUNX BAC 5337</t>
  </si>
  <si>
    <t>010/401/9/022329/2025</t>
  </si>
  <si>
    <t>17.01.2025</t>
  </si>
  <si>
    <t>MATILDAH M. LUKOBO</t>
  </si>
  <si>
    <t>RTA TO MERCEDES BENZ BAC 5150</t>
  </si>
  <si>
    <t>010/401/9/022333/2025</t>
  </si>
  <si>
    <t>25.01.2025</t>
  </si>
  <si>
    <t>NANGE TRAVEL &amp; TOURS</t>
  </si>
  <si>
    <t>RTA TO TOYOTA FORTUNER CAA 886</t>
  </si>
  <si>
    <t>010/401/9/022337/2025</t>
  </si>
  <si>
    <t>15.11.2025</t>
  </si>
  <si>
    <t>27.01.2025</t>
  </si>
  <si>
    <t>GEORGE SIAME - Kabwe</t>
  </si>
  <si>
    <t>RTA TO MAZDA CX-5 BCF 9316</t>
  </si>
  <si>
    <t>010/401/9/022347/2025</t>
  </si>
  <si>
    <t>CHARITY MUSAMBILA</t>
  </si>
  <si>
    <t>WINDSCREEN - MITSUBISHI OUTLANDER AIB 9146</t>
  </si>
  <si>
    <t>010/401/9/022348/2025</t>
  </si>
  <si>
    <t>14.01.2025</t>
  </si>
  <si>
    <t>YES CASH ZAMBIA</t>
  </si>
  <si>
    <t>RTA TO TOYOTA HIACE BBC 1091</t>
  </si>
  <si>
    <t>010/401/9/022350/2025</t>
  </si>
  <si>
    <t>CHIKONZA PHIRI</t>
  </si>
  <si>
    <t>RTA TO TOYOTA MARK II ABL 8936</t>
  </si>
  <si>
    <t>010/401/9/022351/2025</t>
  </si>
  <si>
    <t>YOLANTA MOONDE</t>
  </si>
  <si>
    <t>09.02.2024</t>
  </si>
  <si>
    <t>08.02.2025</t>
  </si>
  <si>
    <t>21.01.2025</t>
  </si>
  <si>
    <t>27.02.2025</t>
  </si>
  <si>
    <t>27.01.225</t>
  </si>
  <si>
    <t>MUSIWA MUBITA</t>
  </si>
  <si>
    <t>THEFT FROM HONDA FIT BLB 6080</t>
  </si>
  <si>
    <t>010/401/9/022355/2025</t>
  </si>
  <si>
    <t>01.04.2024</t>
  </si>
  <si>
    <t>30.03.2025</t>
  </si>
  <si>
    <t>29.12.2024</t>
  </si>
  <si>
    <t>NASSA MWEEMBA</t>
  </si>
  <si>
    <t>RTA TO TOYOTA VITZ ABV 7726</t>
  </si>
  <si>
    <t>010/401/9/022356/2025</t>
  </si>
  <si>
    <t>17.02.2024</t>
  </si>
  <si>
    <t>16.02.2025</t>
  </si>
  <si>
    <t>PAXINA MPANDE</t>
  </si>
  <si>
    <t>TOYOTA VITZ ALZ 3055</t>
  </si>
  <si>
    <t>010/401/9/022361/2025</t>
  </si>
  <si>
    <t>JANET CHILUFYA</t>
  </si>
  <si>
    <t>04.12.2024</t>
  </si>
  <si>
    <t>05.12.2025</t>
  </si>
  <si>
    <t>MUMBA CHISHIMBA</t>
  </si>
  <si>
    <t>RTA TO TOYOTA ALTEZZA BAC 7463</t>
  </si>
  <si>
    <t>010/401/9/022372/2025</t>
  </si>
  <si>
    <t>26.01.2025</t>
  </si>
  <si>
    <t>30.01.2025</t>
  </si>
  <si>
    <t>RICHARD NJELENJE</t>
  </si>
  <si>
    <t>RTA TO TOYOTA AQUA BAT 6526</t>
  </si>
  <si>
    <t>010/401/9/022375/2025</t>
  </si>
  <si>
    <t>16.10.2024</t>
  </si>
  <si>
    <t>15.10.2025</t>
  </si>
  <si>
    <t>08.10.2025</t>
  </si>
  <si>
    <t xml:space="preserve">CHILUBA KABASO </t>
  </si>
  <si>
    <t>RTA TOYOTA ALLION CAC 3207</t>
  </si>
  <si>
    <t>010/401/9/022376/2025</t>
  </si>
  <si>
    <t>FAITH MWEENE NISSAN JUKE ANB 780</t>
  </si>
  <si>
    <t>30.12.2024</t>
  </si>
  <si>
    <t>03.02.2025</t>
  </si>
  <si>
    <t>MOSES KAPYA</t>
  </si>
  <si>
    <t>RTA TO TOYOTA COROLLA AXIO BAX 8734</t>
  </si>
  <si>
    <t>010/401/9/022377/2025</t>
  </si>
  <si>
    <t>n/A</t>
  </si>
  <si>
    <t>28.12.2024</t>
  </si>
  <si>
    <t>15.03.2025</t>
  </si>
  <si>
    <t>PRISCA MUTALE - Kabwe</t>
  </si>
  <si>
    <t>WINDSCREEN - TOYOTA RUNX AJD 4437</t>
  </si>
  <si>
    <t>010/401/9/022381/2025</t>
  </si>
  <si>
    <t>12.01.2024</t>
  </si>
  <si>
    <t>11.01.2025</t>
  </si>
  <si>
    <t>ABIGAIL PHIRI - Mansa</t>
  </si>
  <si>
    <t>RTA to TOYOTA RACTIS ASB 2641</t>
  </si>
  <si>
    <t>010/401/9/022384/2025</t>
  </si>
  <si>
    <t>02.10.2024</t>
  </si>
  <si>
    <t>01.08.2025</t>
  </si>
  <si>
    <t>27.11.2024</t>
  </si>
  <si>
    <t>24.02.2025</t>
  </si>
  <si>
    <t>NICHOLAS MUTAMBO</t>
  </si>
  <si>
    <t>RTA TO TOYOTA COROLLA ATB 2377</t>
  </si>
  <si>
    <t>010/401/9/022387/2025</t>
  </si>
  <si>
    <t>26.10.2024</t>
  </si>
  <si>
    <t>12.02.2025</t>
  </si>
  <si>
    <t>AUDREY NAMUKOBO / ZACL</t>
  </si>
  <si>
    <t>TOYOTA RUNX AIC 8089</t>
  </si>
  <si>
    <t>010/401/9/022389/2025</t>
  </si>
  <si>
    <t>18.01.2025</t>
  </si>
  <si>
    <t>10.02.2025</t>
  </si>
  <si>
    <t>MACMILLAN MWANSA</t>
  </si>
  <si>
    <t>RTA TO TOYOTA NOAH AFB 157</t>
  </si>
  <si>
    <t>010/401/9/022394/2025</t>
  </si>
  <si>
    <t>07.10.2024</t>
  </si>
  <si>
    <t>06.10.2025</t>
  </si>
  <si>
    <t>CHRISTINE KAPUNGWE CHIBI</t>
  </si>
  <si>
    <t>RTA TO BMW BAV 1930</t>
  </si>
  <si>
    <t>010/401/9/022395/2025</t>
  </si>
  <si>
    <t>DANIEL PHIRI - TOYOTA VITZ BAR 9705</t>
  </si>
  <si>
    <t>31.03.2025</t>
  </si>
  <si>
    <t>28.01.2025</t>
  </si>
  <si>
    <t>04.02.2025</t>
  </si>
  <si>
    <t>MAAMBA COLLIERIES</t>
  </si>
  <si>
    <t>RTA TO TOYOTA FORTUNER CAE 7344</t>
  </si>
  <si>
    <t>010/401/9/022402/2025</t>
  </si>
  <si>
    <t>07.08.2024</t>
  </si>
  <si>
    <t>18.12.2024</t>
  </si>
  <si>
    <t>07.02.2025</t>
  </si>
  <si>
    <t>SARAFINA KATANDULA / ZACL</t>
  </si>
  <si>
    <t>RTA TO TOYOTA BELTA BCE 4888</t>
  </si>
  <si>
    <t>010/401/9/022405/2025</t>
  </si>
  <si>
    <t>22.07.2024</t>
  </si>
  <si>
    <t>VERA PHIRI / NICHOLAS SHULA</t>
  </si>
  <si>
    <t>RTA TO NISSAN DUALIS BBA 5227</t>
  </si>
  <si>
    <t>010/401/9/022406/2025</t>
  </si>
  <si>
    <t>MARY MAPILI - TOYOTA COROLLA BAL 8516</t>
  </si>
  <si>
    <t>13.12.2024</t>
  </si>
  <si>
    <t>ASSEDY SHIKAPANDE</t>
  </si>
  <si>
    <t>RTA TO TOYOTA VANGUARD BAR 5091</t>
  </si>
  <si>
    <t>010/401/9/022408/2025</t>
  </si>
  <si>
    <t>01.07.204</t>
  </si>
  <si>
    <t>30.06.205</t>
  </si>
  <si>
    <t>FASTON MUSAUKA</t>
  </si>
  <si>
    <t>RTA TO MAZDA DEMIO AHC 504</t>
  </si>
  <si>
    <t>010/401/9/022409/2025</t>
  </si>
  <si>
    <t>ALEX SICHILIMA - M/CANTER ACX 127</t>
  </si>
  <si>
    <t>24.07.2024</t>
  </si>
  <si>
    <t>23.07.2025</t>
  </si>
  <si>
    <t>MOFFAT BWALYA / ZACL</t>
  </si>
  <si>
    <t>WINDSCREEN - TOYOTA AXIO BAK 2706</t>
  </si>
  <si>
    <t>010/401/9/022427/2025</t>
  </si>
  <si>
    <t>20.02.2025</t>
  </si>
  <si>
    <t>DONALIA TEMBO</t>
  </si>
  <si>
    <t>RTA TO HONDA FIT CAF 2141</t>
  </si>
  <si>
    <t>010/401/9/022428/2025</t>
  </si>
  <si>
    <t>21.10.2024</t>
  </si>
  <si>
    <t>20.10.2025</t>
  </si>
  <si>
    <t>19.02.2025</t>
  </si>
  <si>
    <t>THOMAS MAUNDA</t>
  </si>
  <si>
    <t>WINDSCREEN - HONDA CRV BAJ 48</t>
  </si>
  <si>
    <t>010/401/9/022430/2025</t>
  </si>
  <si>
    <t>18.02.2025</t>
  </si>
  <si>
    <t>SUWILANJI NAMUKOKO</t>
  </si>
  <si>
    <t>RTA TOO TOYOTA ALLEX BAH 1769</t>
  </si>
  <si>
    <t>010/401/9/022432/2025</t>
  </si>
  <si>
    <t>17.02.2025</t>
  </si>
  <si>
    <t>RICHARD KANSONI</t>
  </si>
  <si>
    <t>RTA TO TOYOTA REGIUS ALL 2672</t>
  </si>
  <si>
    <t>010/401/9/022434/2025</t>
  </si>
  <si>
    <t>GIDEON BUHE - TOYOTA MARK X BBC 4538</t>
  </si>
  <si>
    <t>19.10.2024</t>
  </si>
  <si>
    <t>JAMES NYONDO</t>
  </si>
  <si>
    <t>RTA TO ISUZU KB300 BAF 2806</t>
  </si>
  <si>
    <t>010/401/9/022435/2025</t>
  </si>
  <si>
    <t>CHRISPIN MAKONDO</t>
  </si>
  <si>
    <t>RTA TO NISSAN MURANO AIB 9824</t>
  </si>
  <si>
    <t>010/401/9/022437/2025</t>
  </si>
  <si>
    <t>HEMIRA MOHAMMED IBRAHIM - TOYOTA GAI</t>
  </si>
  <si>
    <t>10.12.2024</t>
  </si>
  <si>
    <t>25.02.2025</t>
  </si>
  <si>
    <t>SRUJALA TECH LIMITED</t>
  </si>
  <si>
    <t>RTA TO TOYOTA ALPHARD CAA 352</t>
  </si>
  <si>
    <t>010/401/9/022439/2025</t>
  </si>
  <si>
    <t>BRUCE CHILUFYA - BLA 7401</t>
  </si>
  <si>
    <t>02.04.2025</t>
  </si>
  <si>
    <t>01.04.2025</t>
  </si>
  <si>
    <t>22.01.2025</t>
  </si>
  <si>
    <t>FELIX NYASULU</t>
  </si>
  <si>
    <t>RTA TO TOYOTA ALLION BLB 2994</t>
  </si>
  <si>
    <t>010/401/9/022444/2025</t>
  </si>
  <si>
    <t>N/A (TP)</t>
  </si>
  <si>
    <t>EVERISTO CHILESHE BAV 3548</t>
  </si>
  <si>
    <t>03.05.2025</t>
  </si>
  <si>
    <t>18.05.2025</t>
  </si>
  <si>
    <t>CHILUBA CHANDA</t>
  </si>
  <si>
    <t>RTA TO NISSAN TIIDA AIC 6876</t>
  </si>
  <si>
    <t>010/401/9/022445/2025</t>
  </si>
  <si>
    <t>03.10.2024</t>
  </si>
  <si>
    <t>02.10.2025</t>
  </si>
  <si>
    <t>11.02.2025</t>
  </si>
  <si>
    <t>SABBIRAHMED ISMAL</t>
  </si>
  <si>
    <t>RTA TO TOYOTA ALLION BAT 1824</t>
  </si>
  <si>
    <t>010/401/9/022446/2025</t>
  </si>
  <si>
    <t xml:space="preserve">MANGALITA L. MUZUNGU - TOYOTA ALLION BAT 1824 </t>
  </si>
  <si>
    <t>23.08.2024</t>
  </si>
  <si>
    <t>23.08.2025</t>
  </si>
  <si>
    <t>VICTOR NG'ANDU</t>
  </si>
  <si>
    <t>RTA TO TOYOTA RAV4 ALZ 1556</t>
  </si>
  <si>
    <t>010/401/9/022456/2025</t>
  </si>
  <si>
    <t>CAROL CHABALA BBD 7382</t>
  </si>
  <si>
    <t>05.02.2025</t>
  </si>
  <si>
    <t>MARTHA IKABONGO</t>
  </si>
  <si>
    <t>WINDSCREEN TOYOTA RUNX AIB 1405</t>
  </si>
  <si>
    <t>010/401/9/022458/2025</t>
  </si>
  <si>
    <t>14.02.2025</t>
  </si>
  <si>
    <t>WILLIAM M. KABWE</t>
  </si>
  <si>
    <t>RTA TO TOYOTA LANDCRUISER ADC 7980</t>
  </si>
  <si>
    <t>010/401/9/022460/2025</t>
  </si>
  <si>
    <t>030.03.2025</t>
  </si>
  <si>
    <t>28.02.2025</t>
  </si>
  <si>
    <t>KENNETH LUPINDULA</t>
  </si>
  <si>
    <t>RTA TO NISSAN NAVARA ALJ 8262</t>
  </si>
  <si>
    <t>010/401/9/022461/2025</t>
  </si>
  <si>
    <t>MABLE SUMEYA</t>
  </si>
  <si>
    <t>RTA TO TOYOTA VITZ BAX 5297</t>
  </si>
  <si>
    <t>010/401/9/022462/2025</t>
  </si>
  <si>
    <t>JUDITH WOMBA CHINDEFU</t>
  </si>
  <si>
    <t>RTA TO TOYOTA COROLLA ACM 6371</t>
  </si>
  <si>
    <t>010/401/9/022464/2025</t>
  </si>
  <si>
    <t>22.01.2024</t>
  </si>
  <si>
    <t>10.10.2024</t>
  </si>
  <si>
    <t>ZAMBIA AIRPORTS CORPORATION</t>
  </si>
  <si>
    <t>RTA TO TOYOTA HILUX BAH 5086</t>
  </si>
  <si>
    <t>010/401/9/022466/2025</t>
  </si>
  <si>
    <t>JULITA PHIRI / ZACL</t>
  </si>
  <si>
    <t>RTA TO TOYOTA VITZ AJE 9037</t>
  </si>
  <si>
    <t>010/401/9/022473/2025</t>
  </si>
  <si>
    <t>18.03.2024</t>
  </si>
  <si>
    <t>01.03.2025</t>
  </si>
  <si>
    <t>05.03.2025</t>
  </si>
  <si>
    <t>ELINESS KAPESA</t>
  </si>
  <si>
    <t>RTA TO TOYOTA VITZ CAD 5145</t>
  </si>
  <si>
    <t>010/401/9/022474/2025</t>
  </si>
  <si>
    <t>HUSSEIN RAMADHANI - TOYOTA ALPHARD BLA 4474</t>
  </si>
  <si>
    <t>10.02.2026</t>
  </si>
  <si>
    <t>CHILEFWAYA BRIAN</t>
  </si>
  <si>
    <t>RTA TO TO TOYOTA VITZ BAA 853</t>
  </si>
  <si>
    <t>010/401/9/022477/2025</t>
  </si>
  <si>
    <t>MICHAEL KAZANDA</t>
  </si>
  <si>
    <t>RTA TO TOYOTA VITZ CAA 121</t>
  </si>
  <si>
    <t>010/401/9/022483/2025</t>
  </si>
  <si>
    <t>11.03.2024</t>
  </si>
  <si>
    <t>10.03.2025</t>
  </si>
  <si>
    <t>06.03.2025</t>
  </si>
  <si>
    <t>GEORGE SOSANDI</t>
  </si>
  <si>
    <t>RTA TO TOYOTA COROLLA ABZ 6358</t>
  </si>
  <si>
    <t>010/401/9/022484/2025</t>
  </si>
  <si>
    <t>TEMWANI CHASAYA</t>
  </si>
  <si>
    <t>RTA TO MAZDA CX AHC 897</t>
  </si>
  <si>
    <t>010/401/9/022486/2025</t>
  </si>
  <si>
    <t>31.09.2025</t>
  </si>
  <si>
    <t>BENSON SIMUTOWE</t>
  </si>
  <si>
    <t>RTA TO TOYOTA IPSUM ALV 6325</t>
  </si>
  <si>
    <t>010/401/9/022488/2025</t>
  </si>
  <si>
    <t>28.03.2025</t>
  </si>
  <si>
    <t>AVIC INTERNATIONAL</t>
  </si>
  <si>
    <t>RTA TO TOYOTA HILU BAF 4690</t>
  </si>
  <si>
    <t>010/401/9/022495/2025</t>
  </si>
  <si>
    <t>MITSUBISHI ROSA - BAT 1510</t>
  </si>
  <si>
    <t>11.03.2025</t>
  </si>
  <si>
    <t>AARON MUGALA</t>
  </si>
  <si>
    <t>RTA TO BMW ALE 4470</t>
  </si>
  <si>
    <t>010/401/9/022498/2025</t>
  </si>
  <si>
    <t>DANIEL BANDA - TOYOTA COROLLA ALR 4019</t>
  </si>
  <si>
    <t>02.03.2025</t>
  </si>
  <si>
    <t>YUNCHENG INVESTMENTS</t>
  </si>
  <si>
    <t>RTA TO TOYOTA VANGUARD CAC 3251</t>
  </si>
  <si>
    <t>010/401/9/022500/2025</t>
  </si>
  <si>
    <t>OLIVER Mulungushi - TOYOTA NOAH ALX 6055</t>
  </si>
  <si>
    <t>04.07.2024</t>
  </si>
  <si>
    <t>03.07.2025</t>
  </si>
  <si>
    <t>26.02.2025</t>
  </si>
  <si>
    <t>ABBAS KRAYEM</t>
  </si>
  <si>
    <t>RTA TO TOYOTA MARK X BCA 8743</t>
  </si>
  <si>
    <t>010/401/9/022502/2025</t>
  </si>
  <si>
    <t>MWANGALA G. BANDA - TOYOTA AURIS BAT 6621</t>
  </si>
  <si>
    <t>CHRISPIN CHIBAWE</t>
  </si>
  <si>
    <t>RTA TO BMW 320I BAH 9414</t>
  </si>
  <si>
    <t>010/401/9/022518/2025</t>
  </si>
  <si>
    <t>ROYDAH CHITANDIKA - TOYOTA RUNX AFB 2066</t>
  </si>
  <si>
    <t>13.07.2024</t>
  </si>
  <si>
    <t>12.07.2025</t>
  </si>
  <si>
    <t>14.03.2025</t>
  </si>
  <si>
    <t>ZAMBIA AIRPORTS CORPORATION LTD</t>
  </si>
  <si>
    <t>RTA TO NISSAN CAE 3999</t>
  </si>
  <si>
    <t>010/401/9/022520/2025</t>
  </si>
  <si>
    <t>25.06.2024</t>
  </si>
  <si>
    <t>06.12.2024</t>
  </si>
  <si>
    <t>17.03.2025</t>
  </si>
  <si>
    <t xml:space="preserve">NAMUKOLO LUBINDA </t>
  </si>
  <si>
    <t>RTA TO TOYOTA VITZ AQB 296</t>
  </si>
  <si>
    <t>010/401/9/022524/2025</t>
  </si>
  <si>
    <t>19.03.2025</t>
  </si>
  <si>
    <t>JANET MAMBWE</t>
  </si>
  <si>
    <t>TOYOTA IST ALZ 7652</t>
  </si>
  <si>
    <t>010/401/9/022526/2025</t>
  </si>
  <si>
    <t>IVIN CHUMA NYIRENDA - TOYOTA VITZ CAD 5433</t>
  </si>
  <si>
    <t>01.04/2024</t>
  </si>
  <si>
    <t>CHRISPIN TAPISHA</t>
  </si>
  <si>
    <t>RTA TO TOYOTA GAIA ALM 1061</t>
  </si>
  <si>
    <t>010/401/9/022530/2025</t>
  </si>
  <si>
    <t>21.03.2025</t>
  </si>
  <si>
    <t>FOSTINA KASONDE MALAMA</t>
  </si>
  <si>
    <t>RTA TO TOYOTA VANGUARD BBD 5060</t>
  </si>
  <si>
    <t>010/401/9/022531/2025</t>
  </si>
  <si>
    <t>WHATSON PHIRI - TOYOTA HIACE CAD 2720</t>
  </si>
  <si>
    <t>05.06.2024</t>
  </si>
  <si>
    <t>04.06.2025</t>
  </si>
  <si>
    <t>20.03.2025</t>
  </si>
  <si>
    <t>NORMAN CHIBESA</t>
  </si>
  <si>
    <t>RTA TO NISSAN SERENA ALJ 119</t>
  </si>
  <si>
    <t>010/401/9/022538/2025</t>
  </si>
  <si>
    <t>16.03.2025</t>
  </si>
  <si>
    <t>25.03.2025</t>
  </si>
  <si>
    <t>WINDSCREEN - TOYOTA HILUX ALF 2890</t>
  </si>
  <si>
    <t>010/401/9/022540/2025</t>
  </si>
  <si>
    <t>01.01.2026</t>
  </si>
  <si>
    <t>18.03.2025</t>
  </si>
  <si>
    <t>27.03.2025</t>
  </si>
  <si>
    <t>KASALWA KAPATAMOYO</t>
  </si>
  <si>
    <t>RTA TO TOYOTA VITZ ACK 2972</t>
  </si>
  <si>
    <t>010/401/9/022541/2025</t>
  </si>
  <si>
    <t>15.01.2025</t>
  </si>
  <si>
    <t>14.01.2026</t>
  </si>
  <si>
    <t>23.02.2025</t>
  </si>
  <si>
    <t>24.03.2025</t>
  </si>
  <si>
    <t>FULATA MEEBE MATE / MICHELO MUFWABI</t>
  </si>
  <si>
    <t>RTA TO TOYOTA ALLEX BCC 6476</t>
  </si>
  <si>
    <t>010/401/9/022542/2025</t>
  </si>
  <si>
    <t>ZIOLE MANYONI</t>
  </si>
  <si>
    <t>THEFT FROM TOYOTA MARK X BCA 8743</t>
  </si>
  <si>
    <t>010/401/9/022543/2025</t>
  </si>
  <si>
    <t>RTA TO TOYOTA ALLION BAL 6757</t>
  </si>
  <si>
    <t>010/401/9/022546/2025</t>
  </si>
  <si>
    <t>13.03.2025</t>
  </si>
  <si>
    <t>BRENNER NKUNTA</t>
  </si>
  <si>
    <t>RTA TO TOYOTA RAUM AIB 9001</t>
  </si>
  <si>
    <t>010/401/9/022547/2025</t>
  </si>
  <si>
    <t>LOUIS SIATONTOLA</t>
  </si>
  <si>
    <t>RTA TO TOYOTA VITZ AJF 7571</t>
  </si>
  <si>
    <t>010/401/9/022552/2025</t>
  </si>
  <si>
    <t>05.04.2024</t>
  </si>
  <si>
    <t>04.04.2025</t>
  </si>
  <si>
    <t>13.09.2024</t>
  </si>
  <si>
    <t>22.12.2025</t>
  </si>
  <si>
    <t>NATHAN KAIRA</t>
  </si>
  <si>
    <t>MALICIOUS DAMAGE - TOYOTA NOAH BAD 8988</t>
  </si>
  <si>
    <t>010/401/9/022558/2025</t>
  </si>
  <si>
    <t>WATSON KAFUTE</t>
  </si>
  <si>
    <t>RTA TO TOYOTA MARK X AIC 2216</t>
  </si>
  <si>
    <t>010/401/9/022559/2025</t>
  </si>
  <si>
    <t>08.04.2024</t>
  </si>
  <si>
    <t>HELLEN MUNTALI</t>
  </si>
  <si>
    <t>RTA TO TOYOTA VANGUARD BAR 5943</t>
  </si>
  <si>
    <t>010/401/9/022562/2025</t>
  </si>
  <si>
    <t>11.02.2026</t>
  </si>
  <si>
    <t>22.02.2025</t>
  </si>
  <si>
    <t>INVOICE RECEIVED ON 20.11.2025 - PENDING PAYMENT</t>
  </si>
  <si>
    <t>MASAUSO PAUL MWALE</t>
  </si>
  <si>
    <t>RTA TO TOYOTA RAV 4 ALX 1742</t>
  </si>
  <si>
    <t>010/401/9/022566/2025</t>
  </si>
  <si>
    <t>JUSTIN CHINAMA</t>
  </si>
  <si>
    <t>THEFT FROM TOYOTA VITZ BAK 2283</t>
  </si>
  <si>
    <t>010/401/9/022569/2025</t>
  </si>
  <si>
    <t>08.10.2024</t>
  </si>
  <si>
    <t>CHARLES BWALYA</t>
  </si>
  <si>
    <t>RTA TO TOYOTA ALLEX ALV 5522</t>
  </si>
  <si>
    <t>010/401/9/022574/2025</t>
  </si>
  <si>
    <t>08.03.2025</t>
  </si>
  <si>
    <t>03.04.2025</t>
  </si>
  <si>
    <t xml:space="preserve">NCHIMUNYA M. KAMBELA </t>
  </si>
  <si>
    <t>RTA TO TOYOTA IPSUM ALH 3955</t>
  </si>
  <si>
    <t>010/401/9/022577/2025</t>
  </si>
  <si>
    <t>MOSES SIPALO</t>
  </si>
  <si>
    <t>RTA TO HONDA FIT BLC 9952</t>
  </si>
  <si>
    <t>010/401/9/022583/2025</t>
  </si>
  <si>
    <t xml:space="preserve">AMZER TRANSPORT - SHACMAN BAT 4598 </t>
  </si>
  <si>
    <t>06.02.2026</t>
  </si>
  <si>
    <t>HILDAH CHANDA</t>
  </si>
  <si>
    <t>RTA TO SUZUKI BAK 2435</t>
  </si>
  <si>
    <t>010/401/9/022587/2025</t>
  </si>
  <si>
    <t>23.04.2024</t>
  </si>
  <si>
    <t>22.04.2025</t>
  </si>
  <si>
    <t>22.03.2025</t>
  </si>
  <si>
    <t>08.04.2025</t>
  </si>
  <si>
    <t>ALICE CHUMA NYAMBE / ZACL</t>
  </si>
  <si>
    <t>RTA TO M/BENZ AIF 4572</t>
  </si>
  <si>
    <t>010/401/9/022589/2025</t>
  </si>
  <si>
    <t>10.04.2025</t>
  </si>
  <si>
    <t>WESLEY SIAME</t>
  </si>
  <si>
    <t>RTA TO TOYOTA AXIO BCA 7588</t>
  </si>
  <si>
    <t>010/401/9/022590/2025</t>
  </si>
  <si>
    <t>BRIAN KAMVUMA</t>
  </si>
  <si>
    <t>RTA TO HONDA FIT BBC 9779</t>
  </si>
  <si>
    <t>010/401/9/022593/2025</t>
  </si>
  <si>
    <t>26.03.2025</t>
  </si>
  <si>
    <t>OP CABINET OFFICE</t>
  </si>
  <si>
    <t>RTA TO RENALT KIER GRZ 270 DE</t>
  </si>
  <si>
    <t>010/401/9/022596/2025</t>
  </si>
  <si>
    <t>24.01.2025</t>
  </si>
  <si>
    <t>23.01.2025</t>
  </si>
  <si>
    <t>02.02.2025</t>
  </si>
  <si>
    <t>14.04.2025</t>
  </si>
  <si>
    <t>INVOICE RECIVED ON 17.12.2025</t>
  </si>
  <si>
    <t>RTA TO MITSUBISH TRITON GRZ 220CZ</t>
  </si>
  <si>
    <t>010/401/9/022597/2025</t>
  </si>
  <si>
    <t>11.04.2005</t>
  </si>
  <si>
    <t>NGWERERE GENERAL MECHANNTS</t>
  </si>
  <si>
    <t>RTA TO FORD RANGER CAE 9960</t>
  </si>
  <si>
    <t>010/401/9/022608/2025</t>
  </si>
  <si>
    <t>DIANA GONDWE - TOYOTA AURIS BLC 5993</t>
  </si>
  <si>
    <t>11.11.2024</t>
  </si>
  <si>
    <t>11.11.2025</t>
  </si>
  <si>
    <t>15.04.2025</t>
  </si>
  <si>
    <t>NORRYCE CHANDA</t>
  </si>
  <si>
    <t>RTA TO MAZDA DEMIO CAD 8789</t>
  </si>
  <si>
    <t>010/401/9/022610/2025</t>
  </si>
  <si>
    <t>07.04.2025</t>
  </si>
  <si>
    <t>05.04.2025</t>
  </si>
  <si>
    <t>RTA TO MITSUBISHI COLT GRZ 853 CK</t>
  </si>
  <si>
    <t>010/401/9/022617/2025</t>
  </si>
  <si>
    <t>FRANCIS CHOTA - TOYOTA FIELDER BLC 3733</t>
  </si>
  <si>
    <t>REAGAN MPHANDE</t>
  </si>
  <si>
    <t>RTA TO TOYOTA RUNX BAF 815</t>
  </si>
  <si>
    <t>010/401/9/022618/2025</t>
  </si>
  <si>
    <t>LAYFORD PHIRI - GATOMA MOTOR BIKE</t>
  </si>
  <si>
    <t>31.03.2026</t>
  </si>
  <si>
    <t>IDAH PHIRI</t>
  </si>
  <si>
    <t>THEFT FROM BAD 2516</t>
  </si>
  <si>
    <t>010/401/9/022621/2025</t>
  </si>
  <si>
    <t>09.04.2024</t>
  </si>
  <si>
    <t>PATRICK MBUMWAE</t>
  </si>
  <si>
    <t>RTA TO ISUZU ABM 3131</t>
  </si>
  <si>
    <t>010/401/9/022626/2025</t>
  </si>
  <si>
    <t>12.09.2024</t>
  </si>
  <si>
    <t>11.09.2025</t>
  </si>
  <si>
    <t>29.04.2025</t>
  </si>
  <si>
    <t>MARTHA NGULUBE</t>
  </si>
  <si>
    <t>RTA TO HONDA FIT CAF 9201</t>
  </si>
  <si>
    <t>010/401/9/022630/2025</t>
  </si>
  <si>
    <t>RODWEL MWINGA - TOYOTA COROLLA ALX 4099</t>
  </si>
  <si>
    <t>09.01.2026</t>
  </si>
  <si>
    <t>06.04.2025</t>
  </si>
  <si>
    <t>REPUDAITED</t>
  </si>
  <si>
    <t>MIRRIAM NYUNDU</t>
  </si>
  <si>
    <t>WINDSCREEN - TOYOTA MARK X BCB 958</t>
  </si>
  <si>
    <t>010/401/9/022631/2025</t>
  </si>
  <si>
    <t>25.04.2025</t>
  </si>
  <si>
    <t>SOYI INVESTMENTS LIMITED</t>
  </si>
  <si>
    <t>RTA TO MITSUBISHI  FUSO BAL 2123</t>
  </si>
  <si>
    <t>OLIPA MWALIMU - TOYOTA VANGUARD BLB 838</t>
  </si>
  <si>
    <t>21.04.2025</t>
  </si>
  <si>
    <t>23.03.2025</t>
  </si>
  <si>
    <t>29.05.2025</t>
  </si>
  <si>
    <t>MEMORY NAMBEYE</t>
  </si>
  <si>
    <t>RTA TO TOYOTA VANGUARD BAP 9217</t>
  </si>
  <si>
    <t>010/401/9/022633/2025</t>
  </si>
  <si>
    <t>MPOSI MANNERS - TOYOTA ALLION BAR 2272</t>
  </si>
  <si>
    <t>20.04.2025</t>
  </si>
  <si>
    <t>24.04.2025</t>
  </si>
  <si>
    <t>MWILA CHIPWENDE / GRACE KAKOMPE</t>
  </si>
  <si>
    <t>RTA TO HONDA FIT ALJ 9413</t>
  </si>
  <si>
    <t>010/401/9/022635/2025</t>
  </si>
  <si>
    <t>13.09.2025</t>
  </si>
  <si>
    <t>EXAVIER SHAMBOKO</t>
  </si>
  <si>
    <t>RTA TO TOYOTA AURIS CAD 2334</t>
  </si>
  <si>
    <t>010/401/9/022641/2025</t>
  </si>
  <si>
    <t xml:space="preserve">CHISOYA EDWARD </t>
  </si>
  <si>
    <t>RTA TO TOYOTA VANGUARD AKB 3959</t>
  </si>
  <si>
    <t>010/401/9/022643/2025</t>
  </si>
  <si>
    <t>26.11.2024</t>
  </si>
  <si>
    <t>25.11.2025</t>
  </si>
  <si>
    <t>JACOB MWANZA</t>
  </si>
  <si>
    <t>RTA TOYOTA BELTA AIC 7798</t>
  </si>
  <si>
    <t>010/401/9/022644/2025</t>
  </si>
  <si>
    <t>29.12.2025</t>
  </si>
  <si>
    <t>28.04.2025</t>
  </si>
  <si>
    <t>AGREY MUUMA MUKUMBUTA</t>
  </si>
  <si>
    <t>RTA TO NISSAN DUALIS AID 3869</t>
  </si>
  <si>
    <t>010/401/9/022645/2025</t>
  </si>
  <si>
    <t>CHILIMA WEBSTER CAC 2214</t>
  </si>
  <si>
    <t>30.04.2025</t>
  </si>
  <si>
    <t>ALICE MAKANTA - NDOLA</t>
  </si>
  <si>
    <t>RTA TO TOYOTA MARK X BCC 8179</t>
  </si>
  <si>
    <t>010/401/9/022646/2025</t>
  </si>
  <si>
    <t>CHILESHE CHAFILWA - TOYOTA IPSUM ALF 3124</t>
  </si>
  <si>
    <t>31.01.2026</t>
  </si>
  <si>
    <t>WHITE SAKALA</t>
  </si>
  <si>
    <t>TOYOTA COROLLA BAL 8339</t>
  </si>
  <si>
    <t>010/401/9/022649/2025</t>
  </si>
  <si>
    <t xml:space="preserve">PRISCA CHIBWE </t>
  </si>
  <si>
    <t>RTA TO REGIUS ALJ 7134</t>
  </si>
  <si>
    <t>010/401/9/022650/2025</t>
  </si>
  <si>
    <t>BITWELL SIKOMBE - TOYOTA SPACIO ALV 2110</t>
  </si>
  <si>
    <t>05.05.2025</t>
  </si>
  <si>
    <t>MUSAU BETTY</t>
  </si>
  <si>
    <t>TOYOTA AURIS BBC 6258</t>
  </si>
  <si>
    <t>010/401/9/022652/2025</t>
  </si>
  <si>
    <t>06.05.205</t>
  </si>
  <si>
    <t xml:space="preserve">KAFULA J. KASONGO </t>
  </si>
  <si>
    <t>RTA TO TOYOTA PRADO ABL 4745</t>
  </si>
  <si>
    <t>010/401/9/022654/2025</t>
  </si>
  <si>
    <t>MAHUBAM JUSTINA / ANDISEN ZULU</t>
  </si>
  <si>
    <t>WINDSCREEN - TOYOTA ALLION BAH 8580</t>
  </si>
  <si>
    <t>010/401/9/022655/2025</t>
  </si>
  <si>
    <t>JAMES KALWA</t>
  </si>
  <si>
    <t>TOYOTA PREMIO CAC 4105</t>
  </si>
  <si>
    <t>010/401/9/022656/2025</t>
  </si>
  <si>
    <t>29.09.2024</t>
  </si>
  <si>
    <t>29.03.2025</t>
  </si>
  <si>
    <t>06.05.2025</t>
  </si>
  <si>
    <t xml:space="preserve">SAMSON F. MUMBA </t>
  </si>
  <si>
    <t>RTA TO TOYOTA AXIO AIE 5977</t>
  </si>
  <si>
    <t>010/401/9/022657/2025</t>
  </si>
  <si>
    <t>EMMANUEL MWANACHINGWALA - TOYOTA COROLLA CAC 1294</t>
  </si>
  <si>
    <t>EVANS CHIBALE</t>
  </si>
  <si>
    <t>RTA TO TOYOTA ALLION BAA 2584</t>
  </si>
  <si>
    <t>010/401/9/022659/2025</t>
  </si>
  <si>
    <t>21.01.2026</t>
  </si>
  <si>
    <t>02.05.2025</t>
  </si>
  <si>
    <t>N</t>
  </si>
  <si>
    <t>ASTON AIR LIMITED</t>
  </si>
  <si>
    <t>RTA TO MITSUBISHI PAJERO BAD 6319</t>
  </si>
  <si>
    <t>010/401/9/022662/2025</t>
  </si>
  <si>
    <t>06.01.2026</t>
  </si>
  <si>
    <t>11.04.2025</t>
  </si>
  <si>
    <t>07.05.2025</t>
  </si>
  <si>
    <t>010/401/9/022664/2025</t>
  </si>
  <si>
    <t>30.08.2025</t>
  </si>
  <si>
    <t>SIMON TEMBO</t>
  </si>
  <si>
    <t>RTA TO TOYOTA MARK X CAF 8406</t>
  </si>
  <si>
    <t>010/401/9/022666/2025</t>
  </si>
  <si>
    <t>ELIJA MOYO - TOYOTA HINO BAX 4709</t>
  </si>
  <si>
    <t>12.05.2025</t>
  </si>
  <si>
    <t>17.04.2025</t>
  </si>
  <si>
    <t>MEGA NKOMBO NAMOONDE</t>
  </si>
  <si>
    <t>RTA TO TOYOTA AURS BAZ 3871</t>
  </si>
  <si>
    <t>010/401/9/022667/2025</t>
  </si>
  <si>
    <t>26.07.2024</t>
  </si>
  <si>
    <t>25.05.2025</t>
  </si>
  <si>
    <t>WINSTONE CHOLA</t>
  </si>
  <si>
    <t>RTA TO TOYOTA PLATZ ALH 4641</t>
  </si>
  <si>
    <t>010/401/9/022669/2025</t>
  </si>
  <si>
    <t>SCOLASTIC CHIBWE - AGB 9936</t>
  </si>
  <si>
    <t>0.05.2025</t>
  </si>
  <si>
    <t>MWAKAMUI LAVREN SIKOPO</t>
  </si>
  <si>
    <t>RTA TO TOYOTA ALLION BAT 4127</t>
  </si>
  <si>
    <t>010/401/9/022670/2025</t>
  </si>
  <si>
    <t>JENIPHER MPUNDU - TOYOTA COROLLA BAX 9154</t>
  </si>
  <si>
    <t>GEORGE MUSONDA</t>
  </si>
  <si>
    <t>WINDSCREEN - TOYOTA ALLION APB 1437</t>
  </si>
  <si>
    <t>010/401/9/022672/2025</t>
  </si>
  <si>
    <t>08.05.2025</t>
  </si>
  <si>
    <t>RONALD SIMUYEMBA</t>
  </si>
  <si>
    <t>RTA TO TOYOTA ALTEZZA ALR 6873</t>
  </si>
  <si>
    <t>010/401/9/022673/2025</t>
  </si>
  <si>
    <t>SUWILANJI NANKAMBA</t>
  </si>
  <si>
    <t>RTA TO HYUNDAI SANTAFE CAD 9137</t>
  </si>
  <si>
    <t>010/401/9/022674/2025</t>
  </si>
  <si>
    <t>MWANSA KETTY LUBEYA - TOYOTA VITZ ARB 9462</t>
  </si>
  <si>
    <t>WILBROAD MULAMBA</t>
  </si>
  <si>
    <t>RTA TO TOYOTA MARK X BLC 8208</t>
  </si>
  <si>
    <t>010/401/9/022676/2025</t>
  </si>
  <si>
    <t xml:space="preserve">MWALA CHARLTON </t>
  </si>
  <si>
    <t>RTA TO TOYOTA COROLLA ALX 9035</t>
  </si>
  <si>
    <t>010/401/9/022678/2025</t>
  </si>
  <si>
    <t>22.01.202</t>
  </si>
  <si>
    <t>28.04.205</t>
  </si>
  <si>
    <t>STEPHEN PHIRI</t>
  </si>
  <si>
    <t>RTA TO TOYOTA COROLLA ALG 3631</t>
  </si>
  <si>
    <t>010/401/9/022686/2025</t>
  </si>
  <si>
    <t>35 000</t>
  </si>
  <si>
    <t>YINGSTAR INVESTMENTS</t>
  </si>
  <si>
    <t>RTA TO HINO DUTRO BLA 3894</t>
  </si>
  <si>
    <t>010/401/9/022688/2025</t>
  </si>
  <si>
    <t>13.05.2025</t>
  </si>
  <si>
    <t>GUARDIAN INSURANCE BROKERS - NDOLA</t>
  </si>
  <si>
    <t>RTA TO TOYOTA HILUX BAX 7524</t>
  </si>
  <si>
    <t>010/401/9/022693/2025</t>
  </si>
  <si>
    <t>27.04.2025</t>
  </si>
  <si>
    <t>ZAMBIA AIRPORTS CORP</t>
  </si>
  <si>
    <t>RTA TO TOYOTA HILUX ALE 7367</t>
  </si>
  <si>
    <t>010/401/9/022694/2025</t>
  </si>
  <si>
    <t>14.05.2025</t>
  </si>
  <si>
    <t>EDWARD MULWANDA</t>
  </si>
  <si>
    <t>RTA TO MERCEDES BENZ BBD 8354</t>
  </si>
  <si>
    <t>010/401/9/022698/2025</t>
  </si>
  <si>
    <t>MARIE LAISE DUSHMIYINANA</t>
  </si>
  <si>
    <t>BETTY MASOWE SIMATE</t>
  </si>
  <si>
    <t>RTA TO HONDA CRV BAL 1643</t>
  </si>
  <si>
    <t>010/401/9/022701/2025</t>
  </si>
  <si>
    <t>08.07.2024</t>
  </si>
  <si>
    <t>07.07.2025</t>
  </si>
  <si>
    <t>DAVIES MUTENGO</t>
  </si>
  <si>
    <t>RTA TO MITSUBISHI PAJERO BAZ 765</t>
  </si>
  <si>
    <t>010/401/9/022702/2025</t>
  </si>
  <si>
    <t>18.04.2025</t>
  </si>
  <si>
    <t>20.05.2025</t>
  </si>
  <si>
    <t xml:space="preserve">SARO AGRO </t>
  </si>
  <si>
    <t>RTA TO ISUZU DMAX CAA 7139</t>
  </si>
  <si>
    <t>010/401/9/022704/2025</t>
  </si>
  <si>
    <t>$25,000.00</t>
  </si>
  <si>
    <t>21.12.2024</t>
  </si>
  <si>
    <t>EDNA MWANZA</t>
  </si>
  <si>
    <t>RTA TO TOYOTA VITZ AHB 9431</t>
  </si>
  <si>
    <t>010/401/9/022707/2025</t>
  </si>
  <si>
    <t>22.04.2026</t>
  </si>
  <si>
    <t>04.05.2025</t>
  </si>
  <si>
    <t>21.05.2025</t>
  </si>
  <si>
    <t>LOVENESS SHALUBONO</t>
  </si>
  <si>
    <t>RTA TO TPYPTA RACTIS AJE 9544</t>
  </si>
  <si>
    <t>010/401/9/02272/2025</t>
  </si>
  <si>
    <t xml:space="preserve">KHONDWANI MUNTHALI - CAF 6381 </t>
  </si>
  <si>
    <t>11.05.2025</t>
  </si>
  <si>
    <t>11.05.2026</t>
  </si>
  <si>
    <t>11.06.2025</t>
  </si>
  <si>
    <t>GUARDIAN INSURANCE BROKERS</t>
  </si>
  <si>
    <t>WINDSCREEN DAMAGE - TOYOTA GRANVIA AJB 6116</t>
  </si>
  <si>
    <t>010/401/9/022724/2025</t>
  </si>
  <si>
    <t>28.05.2025</t>
  </si>
  <si>
    <t>MAURICE SIMASIKU AKALILWA</t>
  </si>
  <si>
    <t>RTA TO MITSUBISHI PAJERO ASB 318</t>
  </si>
  <si>
    <t>010/401/9/022726/2025</t>
  </si>
  <si>
    <t>24.02.2026</t>
  </si>
  <si>
    <t>19.05.205</t>
  </si>
  <si>
    <t>LAMECK GOMA</t>
  </si>
  <si>
    <t>WINDSCREEN - TOYOTA VITZ BLA 178</t>
  </si>
  <si>
    <t>010/401/9/022728/2025</t>
  </si>
  <si>
    <t xml:space="preserve">HAMILONGWE VANA </t>
  </si>
  <si>
    <t>RTA TO TOYOTA SIENTA BBA 9288</t>
  </si>
  <si>
    <t>010/401/9/022729/2025</t>
  </si>
  <si>
    <t>POWERLINE ENTERPRISES LTD BAB 4034</t>
  </si>
  <si>
    <t>16.05.2025</t>
  </si>
  <si>
    <t>22.05.2025</t>
  </si>
  <si>
    <t>RTA TO FORD RANGER CAE 5454</t>
  </si>
  <si>
    <t>010/401/9/022735/2025</t>
  </si>
  <si>
    <t>KELVIN KABABA</t>
  </si>
  <si>
    <t>RTA TO MITSUBISHI PAJERO ALX 587</t>
  </si>
  <si>
    <t>010/401/9/022737/2025</t>
  </si>
  <si>
    <t>NELT ZAMBIA - BAX 2749</t>
  </si>
  <si>
    <t>31.05.2026</t>
  </si>
  <si>
    <t>GRACE MAMBWE OLOTIYA CHISENGA</t>
  </si>
  <si>
    <t>WINDSCREEN - NISSAN PROMERA BCB 4046</t>
  </si>
  <si>
    <t>010/401/9/022738/2025</t>
  </si>
  <si>
    <t>PATRICIA CHISENGA</t>
  </si>
  <si>
    <t>RTA TO TOYOTA ALLION BAG 8644</t>
  </si>
  <si>
    <t>010/401/9/022740/2025</t>
  </si>
  <si>
    <t>KETANKUMAH PATEL- BAK 2712</t>
  </si>
  <si>
    <t>04.06.225</t>
  </si>
  <si>
    <t>MWENYA MILTON MANDA</t>
  </si>
  <si>
    <t>RTA TO BMW X3 BLA 2191</t>
  </si>
  <si>
    <t>010/401/9/022743/2023</t>
  </si>
  <si>
    <t>09.10.2024</t>
  </si>
  <si>
    <t>MANG'OMBE TEMO</t>
  </si>
  <si>
    <t>RTA TO BMW X3 ACZ 7933</t>
  </si>
  <si>
    <t>010/401/9/022745/2025</t>
  </si>
  <si>
    <t>01.06.2024</t>
  </si>
  <si>
    <t>31.05.2025</t>
  </si>
  <si>
    <t>27.05.2025</t>
  </si>
  <si>
    <t>GABRIEL LOMBE</t>
  </si>
  <si>
    <t>WINDSCREEN - TOYOTA SPRINTER ALD 2083</t>
  </si>
  <si>
    <t>010/401/9/022748/2025</t>
  </si>
  <si>
    <t>19.01.2026</t>
  </si>
  <si>
    <t>06.06.2025</t>
  </si>
  <si>
    <t xml:space="preserve">ZAMBIA AIRPORTS CORPORATION </t>
  </si>
  <si>
    <t>RTA TO TOYOTA COROLLA ALT 8015</t>
  </si>
  <si>
    <t>010/401/9/022749/2025</t>
  </si>
  <si>
    <t>03.06.2025</t>
  </si>
  <si>
    <t xml:space="preserve">ROBSON MWANZA </t>
  </si>
  <si>
    <t>WINDSCREEN ALH 9350</t>
  </si>
  <si>
    <t>010/401/9/022754/2025</t>
  </si>
  <si>
    <t>05.07.2025</t>
  </si>
  <si>
    <t>JONAS MUSONDA</t>
  </si>
  <si>
    <t>RTA TO TOYOTA SPACIO ARB 181</t>
  </si>
  <si>
    <t>010/401/9/022757/2025</t>
  </si>
  <si>
    <t>ELIAS BANDA</t>
  </si>
  <si>
    <t>16.04.2025</t>
  </si>
  <si>
    <t>SANJI SIAMPONGO</t>
  </si>
  <si>
    <t>RTA TO TOYOTA COROLLA AXIO AHC 1003</t>
  </si>
  <si>
    <t>010/401/9/022760/2025</t>
  </si>
  <si>
    <t>MODESTA ZULU</t>
  </si>
  <si>
    <t>RTA TO TOYOTA VITZ AIE 4542</t>
  </si>
  <si>
    <t>010/401/9/022761/2025</t>
  </si>
  <si>
    <t>30.05.2025</t>
  </si>
  <si>
    <t>05.06.2025</t>
  </si>
  <si>
    <t xml:space="preserve">CHINONGE NDUVA </t>
  </si>
  <si>
    <t>RTA TO TOYOTA VITZ AID 9997</t>
  </si>
  <si>
    <t>010/401/9/022763/2025</t>
  </si>
  <si>
    <t>TBA</t>
  </si>
  <si>
    <t>PENDIN INVOICE FROM THE GARAGE</t>
  </si>
  <si>
    <t>ELITA LYSON ZULU</t>
  </si>
  <si>
    <t>RTA TO TOYOTA AXIO BAH 3619</t>
  </si>
  <si>
    <t>010/401/9/022765/2025</t>
  </si>
  <si>
    <t>30.10.2025</t>
  </si>
  <si>
    <t>SIGNED DISCHARGE RECEIVED ON 30.12.2025</t>
  </si>
  <si>
    <t>EDWARD BANDA</t>
  </si>
  <si>
    <t>RTA TO MAZDA DEMIO CAG 7044</t>
  </si>
  <si>
    <t>13.04.2026</t>
  </si>
  <si>
    <t>15.05.2025</t>
  </si>
  <si>
    <t>20.05.22025</t>
  </si>
  <si>
    <t>REPUDIATED</t>
  </si>
  <si>
    <t>CABINET OFFICE</t>
  </si>
  <si>
    <t>RTA TO MAZDA BT50 GRZ 699 CN</t>
  </si>
  <si>
    <t>010/401/9/022766/2025</t>
  </si>
  <si>
    <t>12.06.2025</t>
  </si>
  <si>
    <t>RTA TO MAZDA BT50 GRZ 946 CN</t>
  </si>
  <si>
    <t>010/401/9/022768/2025</t>
  </si>
  <si>
    <t>PENDING SMART INVOICE FROM THE GARAGE</t>
  </si>
  <si>
    <t>GOLDMAN INSURANCE LIMITED</t>
  </si>
  <si>
    <t>RTA TO TOYOTA BCC 9696</t>
  </si>
  <si>
    <t>010/401/9/022769/2025</t>
  </si>
  <si>
    <t>NOAH CHINKUNKA</t>
  </si>
  <si>
    <t>CHARLES GWEDE</t>
  </si>
  <si>
    <t>RTA TO MITSUBISHI COLT BCB 7370</t>
  </si>
  <si>
    <t>010/401/9/022775/2025</t>
  </si>
  <si>
    <t>10.06.2025</t>
  </si>
  <si>
    <t>AKELEKWA LIKANDO</t>
  </si>
  <si>
    <t>RTA TO TOYOTA ALLION BBD 6758</t>
  </si>
  <si>
    <t>010/401/9/022776/2025</t>
  </si>
  <si>
    <t>26.09.2024</t>
  </si>
  <si>
    <t>26.09.2025</t>
  </si>
  <si>
    <t>STERELIN MEDICAL AND DIAGNOSTIC</t>
  </si>
  <si>
    <t>RTA TO TOTOTA COROLLA ALZ 8151</t>
  </si>
  <si>
    <t>010/401/9/022782/2025</t>
  </si>
  <si>
    <t>16.06.2025</t>
  </si>
  <si>
    <t>RTA TO TOYOTA LANDCRUISER ALG 2762</t>
  </si>
  <si>
    <t>010/401/9/022783/2025</t>
  </si>
  <si>
    <t>GULDY CHALI - T/SPACIO ABV 1751</t>
  </si>
  <si>
    <t>01.06.2025</t>
  </si>
  <si>
    <t>MUTEMBO SYAKANGO</t>
  </si>
  <si>
    <t>TOYOTA ALLION BBA 1519</t>
  </si>
  <si>
    <t>010/401/9/022784/2025</t>
  </si>
  <si>
    <t>20.06.2025</t>
  </si>
  <si>
    <t>ZAKS SILOMBA/ JOSHUA SILOMBA</t>
  </si>
  <si>
    <t>RTA TO TOYOTA RACTIS CAD 6146</t>
  </si>
  <si>
    <t>010/401/9/022786/2025</t>
  </si>
  <si>
    <t>15.06.2025</t>
  </si>
  <si>
    <t>15.07.2025</t>
  </si>
  <si>
    <t>010/401/9/022787/2025</t>
  </si>
  <si>
    <t>19.06.2025</t>
  </si>
  <si>
    <t>SIKASUKWE SINYIMBA</t>
  </si>
  <si>
    <t>RTA TO TOYOTA LANDCRUISER CAE 9100</t>
  </si>
  <si>
    <t>010/401/9/022789/2025</t>
  </si>
  <si>
    <t>PHALESSY NGOMA / ZACL</t>
  </si>
  <si>
    <t>RTA TO TOYOTA IST BBD 6474</t>
  </si>
  <si>
    <t>010/401/9/022790/2025</t>
  </si>
  <si>
    <t>ISAIAH NKHATA</t>
  </si>
  <si>
    <t>RTA TO TOYOTA VITZ BAZ 4309</t>
  </si>
  <si>
    <t>010/401/9/022795/2025</t>
  </si>
  <si>
    <t>14.06.2025</t>
  </si>
  <si>
    <t>MARTIN MWAPE</t>
  </si>
  <si>
    <t>RTA TO TOYOTA HARRRIER ASB 1207</t>
  </si>
  <si>
    <t>010/401/9/022797/2025</t>
  </si>
  <si>
    <t>MATA CHIKUPYA</t>
  </si>
  <si>
    <t>18.06.2025</t>
  </si>
  <si>
    <t>DAVID LUSALE</t>
  </si>
  <si>
    <t>RTA TO ISUZU WIZARD ALZ 9005</t>
  </si>
  <si>
    <t>010/401/9/022806/2025</t>
  </si>
  <si>
    <t>MATHIAS MKANDAWIRE - TOYOTA VANGUARD - CAE 6028</t>
  </si>
  <si>
    <t>05.05.2026</t>
  </si>
  <si>
    <t>08.06.2025</t>
  </si>
  <si>
    <t>13.06.2025</t>
  </si>
  <si>
    <t>PENDING INVOICE FOR TP</t>
  </si>
  <si>
    <t>MELINDA KATETE</t>
  </si>
  <si>
    <t>RTA TO TOYOTA VANGUARD CAE 7501</t>
  </si>
  <si>
    <t>010/401/9/022810/2025</t>
  </si>
  <si>
    <t>PETRIDGE MUKOTE - ACL 5776</t>
  </si>
  <si>
    <t>18.10.2025</t>
  </si>
  <si>
    <t>23.06.2025</t>
  </si>
  <si>
    <t>RTA TO TOYOTA VOXY BLA 6162</t>
  </si>
  <si>
    <t>010/401/9/022815/2025</t>
  </si>
  <si>
    <t>DOCUS MADIMA - M/BENZ BAZ 1762</t>
  </si>
  <si>
    <t>CC SYSTEMS</t>
  </si>
  <si>
    <t>RTA TO TOYOTA HILUX  BAE 9675</t>
  </si>
  <si>
    <t>010/401/9/022816/2025</t>
  </si>
  <si>
    <t>SOBI INDUSTRIES - FORD RANGER ALR 8496</t>
  </si>
  <si>
    <t>27.06.2025</t>
  </si>
  <si>
    <t>BRUCE LOFWA</t>
  </si>
  <si>
    <t>RTA TO TOYOTA MARK X ADF 1071</t>
  </si>
  <si>
    <t>010/401/9/022817/2025</t>
  </si>
  <si>
    <t>MINISTRY OF WORKS AND SUPPLY</t>
  </si>
  <si>
    <t>RTA TO TOYOTA LANDCRUISER ABP 7289 (ZNS 572B)</t>
  </si>
  <si>
    <t>010/401/9/022818/2025</t>
  </si>
  <si>
    <t>26.01.2026</t>
  </si>
  <si>
    <t>KENNEDY CHOLA - KABWE</t>
  </si>
  <si>
    <t>RTA TO TOYOTA REGIUS BAD 1686</t>
  </si>
  <si>
    <t>010/401/9/022825/2025</t>
  </si>
  <si>
    <t>29.01.2026</t>
  </si>
  <si>
    <t>MUNGALU A. NAMASIKU</t>
  </si>
  <si>
    <t>RTA TO HONDA CRV ALB 2055</t>
  </si>
  <si>
    <t>010/401/9/022826/2025</t>
  </si>
  <si>
    <t>NANGA LORRAIN SITALI</t>
  </si>
  <si>
    <t>WINDSCREEN TOYOTA VITZ BBA 1300</t>
  </si>
  <si>
    <t>010/401/9/022828/2025</t>
  </si>
  <si>
    <t>18.06.2024</t>
  </si>
  <si>
    <t>21.06.2025</t>
  </si>
  <si>
    <t>MEMORY MANDEFU</t>
  </si>
  <si>
    <t>RTA TO TOYOTA IST BAJ 1914</t>
  </si>
  <si>
    <t>010/401/9/022837/2025</t>
  </si>
  <si>
    <t>LEWIS CHAKUPALESA</t>
  </si>
  <si>
    <t>RTA TO TOYOTA ALTIS AHB 9114</t>
  </si>
  <si>
    <t>010/401/9/022841/2025</t>
  </si>
  <si>
    <t>31.1.2025</t>
  </si>
  <si>
    <t>28.06.2025</t>
  </si>
  <si>
    <t>FRAZER CHUPA</t>
  </si>
  <si>
    <t>WINDSCREEN - NISSAN BLUE BIRDD ABZ 7691</t>
  </si>
  <si>
    <t>010/401/9/022842/2025</t>
  </si>
  <si>
    <t>29.06.2025</t>
  </si>
  <si>
    <t>MATHEW MUTEMWA</t>
  </si>
  <si>
    <t>WINDSCREEN TOYOTA LANDCRUISER BCG 3851</t>
  </si>
  <si>
    <t>010/401/9/022845/2025</t>
  </si>
  <si>
    <t>02.08.2024</t>
  </si>
  <si>
    <t>11.07.2025</t>
  </si>
  <si>
    <t>EMMANUEL MAKOLEKA</t>
  </si>
  <si>
    <t>WINDSCREE - TOYOTA SURF ACX7926</t>
  </si>
  <si>
    <t>010/401/9/022847/2025</t>
  </si>
  <si>
    <t>03.07.2024</t>
  </si>
  <si>
    <t>02.07.2025</t>
  </si>
  <si>
    <t>10.05.2025</t>
  </si>
  <si>
    <t>04.07.2025</t>
  </si>
  <si>
    <t>RTA TO TOYOTA LANDCRUISER BCG 3851</t>
  </si>
  <si>
    <t>010/401/9/022849/2025</t>
  </si>
  <si>
    <t>SOTAU LTD - TOYOTA HILUX ALE 1270</t>
  </si>
  <si>
    <t>01.09.2025</t>
  </si>
  <si>
    <t>LEWIS MAMBISA</t>
  </si>
  <si>
    <t>RTA TO TOYOTA VELLFIRE ADE 5747</t>
  </si>
  <si>
    <t>010/401/9/022850/2025</t>
  </si>
  <si>
    <t>22.10.2025</t>
  </si>
  <si>
    <t>23.10.2025</t>
  </si>
  <si>
    <t>17.07.2025</t>
  </si>
  <si>
    <t>BRUCE MUMBA / ZACL</t>
  </si>
  <si>
    <t>THEFT FROM TOYOTA IPSUM BAB 5725</t>
  </si>
  <si>
    <t>010/401/9/022852/2025</t>
  </si>
  <si>
    <t>HOWARD MUGAIWA</t>
  </si>
  <si>
    <t>RTA TO TOYOTA VANGUARD AID 9452</t>
  </si>
  <si>
    <t>010/401/9/022854/2025</t>
  </si>
  <si>
    <t>27.11.2025</t>
  </si>
  <si>
    <t>28.11.2025</t>
  </si>
  <si>
    <t>14.07.2025</t>
  </si>
  <si>
    <t>CHEWE CHOKWE</t>
  </si>
  <si>
    <t>RTA TO TOYOTA ALLION AIB 3233</t>
  </si>
  <si>
    <t>010/401/9/022856/2025</t>
  </si>
  <si>
    <t>MULIMA WAMUNYIMA</t>
  </si>
  <si>
    <t>RTA TO BMW X3 BAA 6096</t>
  </si>
  <si>
    <t>010/401/9/022858/2025</t>
  </si>
  <si>
    <t>24.06.2025</t>
  </si>
  <si>
    <t>RTA TO TOYOTA VANGAURD BBA 1421</t>
  </si>
  <si>
    <t>010/401/9/022861/2025</t>
  </si>
  <si>
    <t>UNITED CHURCH OF ZAMBIA</t>
  </si>
  <si>
    <t>RTA TO TOYOTA ALPHARD BAK 7946</t>
  </si>
  <si>
    <t>010/401/9/022863/2025</t>
  </si>
  <si>
    <t>13.07.2025</t>
  </si>
  <si>
    <t>19.07.2025</t>
  </si>
  <si>
    <t>010/401/9/022864/2025</t>
  </si>
  <si>
    <t>TAMARA NGAMBI</t>
  </si>
  <si>
    <t>RTA TO TOYOTA VITZ BLC 6362</t>
  </si>
  <si>
    <t>010/401/9/022865/2025</t>
  </si>
  <si>
    <t>SOUTH POINT CLINIC - FORD RANGER AJF 7318</t>
  </si>
  <si>
    <t xml:space="preserve">GRACE BANDA </t>
  </si>
  <si>
    <t>RTA TO TOYOTA ALLION CAA 9759</t>
  </si>
  <si>
    <t>010/401/9/022866/2025</t>
  </si>
  <si>
    <t>KINGS PALACE- BAJ 1024</t>
  </si>
  <si>
    <t>09.07.2025</t>
  </si>
  <si>
    <t>CHARLES MUCHINDU</t>
  </si>
  <si>
    <t>WINDSCREEN- TOYOTA HILUX ABP 2029</t>
  </si>
  <si>
    <t>010/401/9/022868/2025</t>
  </si>
  <si>
    <t>JAMIAH BANDA</t>
  </si>
  <si>
    <t>RTA TO MAZDA AXELA CAC 1446</t>
  </si>
  <si>
    <t>010/401/9/022871/2025</t>
  </si>
  <si>
    <t>18.11.2024</t>
  </si>
  <si>
    <t>26.06.2025</t>
  </si>
  <si>
    <t>KENNETH SICINGA</t>
  </si>
  <si>
    <t>RTA TO TOYOTA PRADO ADC 6354</t>
  </si>
  <si>
    <t>010/401/9/022873/2025</t>
  </si>
  <si>
    <t>SIMAUNDU BRIVEN</t>
  </si>
  <si>
    <t>RTA TO BAX 1787</t>
  </si>
  <si>
    <t>010/401/9/022877/2025</t>
  </si>
  <si>
    <t>17.06.2025</t>
  </si>
  <si>
    <t>BONAVENTURE KALULU</t>
  </si>
  <si>
    <t>RTA TO TOYOTA MARK X BBA 4188</t>
  </si>
  <si>
    <t>010/401/9/022878/2025</t>
  </si>
  <si>
    <t>08.07.2025</t>
  </si>
  <si>
    <t>HILDAH MUKONKA</t>
  </si>
  <si>
    <t>RTA TO TOYOTA LITEACE AAX 3331</t>
  </si>
  <si>
    <t>010/401/9/022879/2025</t>
  </si>
  <si>
    <t>MWIKISA MASHEBE</t>
  </si>
  <si>
    <t>RTA TO TOYOTA ALLION BAH 2791</t>
  </si>
  <si>
    <t>010/401/9/022881/2025</t>
  </si>
  <si>
    <t>CONSULATE OF LEBANON</t>
  </si>
  <si>
    <t>RTA TO JEEP CHEROKEE ALB 9595</t>
  </si>
  <si>
    <t>010/401/9/022887/2025</t>
  </si>
  <si>
    <t>22.07.2025</t>
  </si>
  <si>
    <t>WINDSCREEN DAMAGE - NISSAN BAF 5736</t>
  </si>
  <si>
    <t>010/401/9/022888/2025</t>
  </si>
  <si>
    <t>SYLVESTER SHIPOLO</t>
  </si>
  <si>
    <t>RTA TO TOYOTA SURF ALT 9459</t>
  </si>
  <si>
    <t>010/401/9/022896/2025</t>
  </si>
  <si>
    <t>DUMISANI NKUNIKA - TOYOTA SURF ALJ 9459</t>
  </si>
  <si>
    <t>04.01.2026</t>
  </si>
  <si>
    <t>NAMAKANDO NAMAKANDO</t>
  </si>
  <si>
    <t>RTA TO TOYOTA AURICE BAK 5805</t>
  </si>
  <si>
    <t>010/401/9/022897/2025</t>
  </si>
  <si>
    <t>LUCIA JALASI - TOYOTA LANDCRUISER ABZ 784</t>
  </si>
  <si>
    <t>14.06.2026</t>
  </si>
  <si>
    <t>16.07.2025</t>
  </si>
  <si>
    <t>JOSEPH MUZUNI / AGNES MALIPILO</t>
  </si>
  <si>
    <t>RTA TO TOYOTA HILUX BAL 1520</t>
  </si>
  <si>
    <t>010/401/9/022899/2025</t>
  </si>
  <si>
    <t>17.12.2025</t>
  </si>
  <si>
    <t>20.07.2025</t>
  </si>
  <si>
    <t>MWEEMBA CHANDA</t>
  </si>
  <si>
    <t>RTA TO TOYOTA IST ALX 8516</t>
  </si>
  <si>
    <t>010/401/9/022901/2025</t>
  </si>
  <si>
    <t>WINDSCREEN -FORD RANGER BBD 4808</t>
  </si>
  <si>
    <t>010/401/9/022909/2025</t>
  </si>
  <si>
    <t>06.06.205</t>
  </si>
  <si>
    <t>SAPHIRA HELLEN NGUNI</t>
  </si>
  <si>
    <t>RTA TO TOYOTA ALLEX BAG 101</t>
  </si>
  <si>
    <t>010/401/9/022911/2025</t>
  </si>
  <si>
    <t>GIFT SHANE - TOYOTA COROLLA BAB 8191</t>
  </si>
  <si>
    <t>30.07.2025</t>
  </si>
  <si>
    <t>CONTANCE NTILIMA</t>
  </si>
  <si>
    <t>RTA TO TOYOTA SIENTA BAG 1878</t>
  </si>
  <si>
    <t>010/401/9/022914/2025</t>
  </si>
  <si>
    <t>31.07.2025</t>
  </si>
  <si>
    <t>05.08.2025</t>
  </si>
  <si>
    <t>EXCEED TRAVEL LIMITED</t>
  </si>
  <si>
    <t>RTA TO TOYOTA BELTA BCD 1671</t>
  </si>
  <si>
    <t>010/401/9/022915/2025</t>
  </si>
  <si>
    <t>DRUG PARK PHARMACY - CAC 7830</t>
  </si>
  <si>
    <t>JANISIBELE PATHIUS</t>
  </si>
  <si>
    <t>RTA TO TOYOTA RUNX ALM 4084</t>
  </si>
  <si>
    <t>010/401/9/022916/2025</t>
  </si>
  <si>
    <t>16.01.2025</t>
  </si>
  <si>
    <t>15.01.2026</t>
  </si>
  <si>
    <t>19.08.2025</t>
  </si>
  <si>
    <t>RAY CHILUFYA</t>
  </si>
  <si>
    <t>RTA TO PEUGEOT CAE 1842</t>
  </si>
  <si>
    <t>010/401/9/022918/2025</t>
  </si>
  <si>
    <t>17/06/2025</t>
  </si>
  <si>
    <t>17/06/2026</t>
  </si>
  <si>
    <t>DIANAH SAKALA</t>
  </si>
  <si>
    <t>RTA TO TOYOTA BB BAF 9854</t>
  </si>
  <si>
    <t>010/401/9/022921/2025</t>
  </si>
  <si>
    <t>DENNIS SILUNGWE</t>
  </si>
  <si>
    <t>RTA TO TOYOTA COROLLA AIC 1572</t>
  </si>
  <si>
    <t>010/401/9/022924/2025</t>
  </si>
  <si>
    <t>WILSON LWINYA</t>
  </si>
  <si>
    <t>FIRE DAMAGE TO SUZUKI SEDAN AIC 7442</t>
  </si>
  <si>
    <t>010/401/9/022925/2025</t>
  </si>
  <si>
    <t>10.04.2026</t>
  </si>
  <si>
    <t>08.08.2025</t>
  </si>
  <si>
    <t>NKOLE EMMANUEL MUYUNDA</t>
  </si>
  <si>
    <t>RTA TO FORD RANGER BAZ 8312</t>
  </si>
  <si>
    <t>010/401/9/022926/2025</t>
  </si>
  <si>
    <t>RUTH MWAPE MUNDOBWA</t>
  </si>
  <si>
    <t>RTA TO MAZDA TRIBUTE ALR 5005</t>
  </si>
  <si>
    <t>010/401/9/022929/2025</t>
  </si>
  <si>
    <t>01.12.2024</t>
  </si>
  <si>
    <t>30.11.2025</t>
  </si>
  <si>
    <t>04.08.2025</t>
  </si>
  <si>
    <t>18.08.2025</t>
  </si>
  <si>
    <t>PAUL CHIKWANDA</t>
  </si>
  <si>
    <t>RTA TO TOYOTA MARK X BAZ 534</t>
  </si>
  <si>
    <t>010/401/9/022934/2025</t>
  </si>
  <si>
    <t>MWANGALA MUBUYAETA</t>
  </si>
  <si>
    <t>WINDSCREEN - TOYOTA ISIS ARB 3808</t>
  </si>
  <si>
    <t>010/401/9/022935/2025</t>
  </si>
  <si>
    <t>MARGARET STEPHENSON</t>
  </si>
  <si>
    <t>RTA TO TOYOTA HIACE BBC 4770</t>
  </si>
  <si>
    <t>010/401/9/022938/2025</t>
  </si>
  <si>
    <t>27.07.2025</t>
  </si>
  <si>
    <t>INVOICE RECEIVED - PENDING PAYMENT</t>
  </si>
  <si>
    <t>THEFT FROM TOYOTA ALLION CAC 5264</t>
  </si>
  <si>
    <t>010/401/9/022943/2025</t>
  </si>
  <si>
    <t>06.07.2025</t>
  </si>
  <si>
    <t>11.08.2025</t>
  </si>
  <si>
    <t>ANGELA PHIRI</t>
  </si>
  <si>
    <t>TOYOTA PROBOX BBA 5321</t>
  </si>
  <si>
    <t>010/401/9/022954/2025</t>
  </si>
  <si>
    <t>FLORENCE M SONGISO</t>
  </si>
  <si>
    <t>18.07.2025</t>
  </si>
  <si>
    <t>OD CLAIM SETTLED - PENDING TP SIGNED DISHARGE</t>
  </si>
  <si>
    <t>SARO AGRO</t>
  </si>
  <si>
    <t>RTA TO TOYOTA PROBOX CAF 5926</t>
  </si>
  <si>
    <t>010/401/9/022957/2025</t>
  </si>
  <si>
    <t>14.08.2025</t>
  </si>
  <si>
    <t>KATONGO COSMAS MULENGA</t>
  </si>
  <si>
    <t>RTA TO TOYOTA PASSO BAZ 9528</t>
  </si>
  <si>
    <t>010/401/9/022958/2025</t>
  </si>
  <si>
    <t>12.08.2025</t>
  </si>
  <si>
    <t>KAMUNDE MWANDILA</t>
  </si>
  <si>
    <t>RTA TO TOYOTA AXIO AIC 3134</t>
  </si>
  <si>
    <t>010/401/9/022959/2025</t>
  </si>
  <si>
    <t>ETHEL THINDWA AIF 5434</t>
  </si>
  <si>
    <t>25.07.2025</t>
  </si>
  <si>
    <t>13.08.2025</t>
  </si>
  <si>
    <t>YORAM MUMBA</t>
  </si>
  <si>
    <t>RTA TO TOYOTA NOAH AJC 6508</t>
  </si>
  <si>
    <t>010/401/9/022960/2025</t>
  </si>
  <si>
    <t>MARK KAMANGA</t>
  </si>
  <si>
    <t>RTA TO TOYOTA VITZ ALZ 7148</t>
  </si>
  <si>
    <t>010/401/9/022961/2025</t>
  </si>
  <si>
    <t>15.08.2025</t>
  </si>
  <si>
    <t xml:space="preserve">MUNDIA D. MUNYANYA </t>
  </si>
  <si>
    <t>WINDSCEEN DAMAGE - BBD 6870</t>
  </si>
  <si>
    <t>010/401/9/022962/2025</t>
  </si>
  <si>
    <t>04.04.2024</t>
  </si>
  <si>
    <t>05.10.2025</t>
  </si>
  <si>
    <t>SYLVIA KABOZO ULULI</t>
  </si>
  <si>
    <t>RTA TO TOYOTA IST ALM 9286</t>
  </si>
  <si>
    <t>010/401/9/022964/2025</t>
  </si>
  <si>
    <t>DOMINIC LUFWENDO - NISSAN DATSAN AAX 649</t>
  </si>
  <si>
    <t>05.08.205</t>
  </si>
  <si>
    <t>RTA TO TOYOTA HARRIER ACX 9304</t>
  </si>
  <si>
    <t>010/401/9/022966/2025</t>
  </si>
  <si>
    <t>Lake Trans Logistics - Toyota Vitz CAE 5525</t>
  </si>
  <si>
    <t>02.08.2025</t>
  </si>
  <si>
    <t>FRANCIS MIMBULULU MUSONDA</t>
  </si>
  <si>
    <t>RTA TO TOYOTA RUNX BLA 6735</t>
  </si>
  <si>
    <t>010/401/9/022968/2025</t>
  </si>
  <si>
    <t>ALLAN SYAMUBI</t>
  </si>
  <si>
    <t>RTA TO TOYOTA MARK X  BAP 8635</t>
  </si>
  <si>
    <t>010/401/9/022969/2025</t>
  </si>
  <si>
    <t>KENNEDY BWALYA - TOYOTA BAB 7730</t>
  </si>
  <si>
    <t>07.08.2025</t>
  </si>
  <si>
    <t>20.08.2025</t>
  </si>
  <si>
    <t>EMMANUEL HANDABILE / ZACL</t>
  </si>
  <si>
    <t>RTA TO MITSUBISHHI TRITON BLB 3500</t>
  </si>
  <si>
    <t>010/401/9/022970/2025</t>
  </si>
  <si>
    <t>HASTINGS ELI CHITI</t>
  </si>
  <si>
    <t>WINDSCREEN - MERCEDES BENZ BAL 5994</t>
  </si>
  <si>
    <t>010/401/9/022972/2025</t>
  </si>
  <si>
    <t>01.10.2023</t>
  </si>
  <si>
    <t>30.09.2024</t>
  </si>
  <si>
    <t>03.04.2024</t>
  </si>
  <si>
    <t>HILDAH KABWE - KABWE</t>
  </si>
  <si>
    <t>RTA TO NISSAN MURANO AHB 9051</t>
  </si>
  <si>
    <t>010/401/9/022982/2025</t>
  </si>
  <si>
    <t>GRACE CHITUMFWA</t>
  </si>
  <si>
    <t>RTA TO TOYOTA VANGUARD CAH 901</t>
  </si>
  <si>
    <t>010/401/9/022983/2025</t>
  </si>
  <si>
    <t xml:space="preserve">KAPANDA PATIENCE - BMW CAA 7039 </t>
  </si>
  <si>
    <t>09.06.2025</t>
  </si>
  <si>
    <t>10.06.2026</t>
  </si>
  <si>
    <t>06.08.2025</t>
  </si>
  <si>
    <t>22.08.2025</t>
  </si>
  <si>
    <t>PATRCIA CHISANGA</t>
  </si>
  <si>
    <t>010/401/9/022986/2025</t>
  </si>
  <si>
    <t>16.01.2026</t>
  </si>
  <si>
    <t>03.08.2025</t>
  </si>
  <si>
    <t>JUDITH PONDANI</t>
  </si>
  <si>
    <t>WINDSCREEN - MAZDA BT-50 CAG 8500</t>
  </si>
  <si>
    <t>010/401/9/022988/2025</t>
  </si>
  <si>
    <t>12.05.2026</t>
  </si>
  <si>
    <t>PENDING QUOTATION FROM DEALERS</t>
  </si>
  <si>
    <t>LUSALE SIMBAO</t>
  </si>
  <si>
    <t>WINDSCREEN TOYOTA HIACE BLD 2144</t>
  </si>
  <si>
    <t>010/401/9/022991/2025</t>
  </si>
  <si>
    <t>LEWIS BWALYA</t>
  </si>
  <si>
    <t>RTA TO TOYOTA ACR 5395</t>
  </si>
  <si>
    <t>010/401/9/022998/2025</t>
  </si>
  <si>
    <t>ETHABEL SAKALA CAH 642</t>
  </si>
  <si>
    <t>08.08.205</t>
  </si>
  <si>
    <t>KASONDE KASONDE</t>
  </si>
  <si>
    <t>RTA TO TOYOTA VANGUARD AIF 9002</t>
  </si>
  <si>
    <t>010/401/9/023002/2025</t>
  </si>
  <si>
    <t>25.08.2025</t>
  </si>
  <si>
    <t>WILLIAM CHIBALE</t>
  </si>
  <si>
    <t>RTA TO TOYOTA HILUX BAD 1933</t>
  </si>
  <si>
    <t>010/401/9/023003/2025</t>
  </si>
  <si>
    <t>JACK NGUMBI</t>
  </si>
  <si>
    <t>RTA TO MECERDES BENZ BLC 9503</t>
  </si>
  <si>
    <t>010/401/9/023007/2025</t>
  </si>
  <si>
    <t>12.02.2026</t>
  </si>
  <si>
    <t>24.08.2025</t>
  </si>
  <si>
    <t>RTA TO NISSAN NAVARA GRZ 714CZ</t>
  </si>
  <si>
    <t>010/401/9/023008/2025</t>
  </si>
  <si>
    <t>04.09.2025</t>
  </si>
  <si>
    <t>RTA TO TOYOTA HIACE GRZ 906 CF</t>
  </si>
  <si>
    <t>010/401/9/023009/2025</t>
  </si>
  <si>
    <t>RTA TO TOYOTA LANDCRUISER GRZ 443CV</t>
  </si>
  <si>
    <t>010/401/9/023010/2025</t>
  </si>
  <si>
    <t>EDNAH MITTI</t>
  </si>
  <si>
    <t>RTA TO TOYOTA ALLION BLB 236</t>
  </si>
  <si>
    <t>010/401/9/023012/2025</t>
  </si>
  <si>
    <t>HOUCHENG MINING - AHB 6545</t>
  </si>
  <si>
    <t>02.09.2025</t>
  </si>
  <si>
    <t>WINSCREEN - TOYOTA VANGUARD BBD 8353</t>
  </si>
  <si>
    <t>010/401/9/023015/2025</t>
  </si>
  <si>
    <t>28.07.2025</t>
  </si>
  <si>
    <t>MWAPE CHIMBENSOFU</t>
  </si>
  <si>
    <t>RTA TO HONDA FIT AIF 3914</t>
  </si>
  <si>
    <t>010/401/9/023016/2025</t>
  </si>
  <si>
    <t>EMMANUEL MPHANDE - CHEVROLET BAZ 6066</t>
  </si>
  <si>
    <t>29.10.2024</t>
  </si>
  <si>
    <t>03.09.2025</t>
  </si>
  <si>
    <t>AGNESS SAKALA</t>
  </si>
  <si>
    <t>RTA TO TOYOTA COROLLA BAJ 1610</t>
  </si>
  <si>
    <t>010/401/9/023017/2025</t>
  </si>
  <si>
    <t>29.08.2025</t>
  </si>
  <si>
    <t>MISHECK ZIMBA</t>
  </si>
  <si>
    <t>RTA TO TOYOTA MARK X BCG 388</t>
  </si>
  <si>
    <t>010/401/9/023018/2025</t>
  </si>
  <si>
    <t>02.02.2026</t>
  </si>
  <si>
    <t>KAYOMBO FUNGULA</t>
  </si>
  <si>
    <t>RTA TO MERCEDES BENZ AIE 6779</t>
  </si>
  <si>
    <t>010/401/9/023020/2025</t>
  </si>
  <si>
    <t>09.08.2025</t>
  </si>
  <si>
    <t>EUSTACE MIYOBA</t>
  </si>
  <si>
    <t>RTA TO TOYOTA MARK X  BBA 4861</t>
  </si>
  <si>
    <t>010/401/9/023023/2025</t>
  </si>
  <si>
    <t xml:space="preserve">CAF </t>
  </si>
  <si>
    <t>10.08.2025</t>
  </si>
  <si>
    <t>FRIDAY NGULUBE</t>
  </si>
  <si>
    <t>RTA TO MERCEDES BENZ BBD 9855</t>
  </si>
  <si>
    <t>010/401/9/023025/2025</t>
  </si>
  <si>
    <t>07.05.2028</t>
  </si>
  <si>
    <t>06.05.2026</t>
  </si>
  <si>
    <t>KAUMBA DORIS</t>
  </si>
  <si>
    <t>RTA TO HYUNDAI HD72 ALC 3315</t>
  </si>
  <si>
    <t>010/401/9/023026/2025</t>
  </si>
  <si>
    <t>LACKSON SILWIMBA - TOYOTA HILUX ABX 3053</t>
  </si>
  <si>
    <t>03.01.2026</t>
  </si>
  <si>
    <t>CHILOMBO ANNA MUSUMALI</t>
  </si>
  <si>
    <t>RTA TO TOYOTA VANGUARD BBE 1098</t>
  </si>
  <si>
    <t>010/401/9/023028/2025</t>
  </si>
  <si>
    <t>01.07.2026</t>
  </si>
  <si>
    <t>05.09.2025</t>
  </si>
  <si>
    <t>INVOICE FOR SUP. REPARIS SETTLED PENDING INVOICE FOR INITIAL REPAIRS</t>
  </si>
  <si>
    <t>CHARLES MUSONDA</t>
  </si>
  <si>
    <t>RTA TO TOYOTA HILUX BLB 1350</t>
  </si>
  <si>
    <t>010/401/9/023031/2025</t>
  </si>
  <si>
    <t>EMMAH PHIRI</t>
  </si>
  <si>
    <t>RTA TO TOYOTA MARK X BAD 6988</t>
  </si>
  <si>
    <t>010/401/9/023034/2025</t>
  </si>
  <si>
    <t>DS BEIA BEIRA AAT 417SF</t>
  </si>
  <si>
    <t>21.12.2025</t>
  </si>
  <si>
    <t>09.09.2025</t>
  </si>
  <si>
    <t>MBEWE RENNICH CHISOMO</t>
  </si>
  <si>
    <t>RTA TO TOYOTA BELTA BBA 286</t>
  </si>
  <si>
    <t>010/401/9/023035/2025</t>
  </si>
  <si>
    <t>26.08.2024</t>
  </si>
  <si>
    <t>BRIVEN SIMAUNDU</t>
  </si>
  <si>
    <t>M/BENZ BAX 1787ZM</t>
  </si>
  <si>
    <t>010/401/9/023036/2025</t>
  </si>
  <si>
    <t>LINAH ZULU</t>
  </si>
  <si>
    <t>26.07.2025</t>
  </si>
  <si>
    <t>MARK MAMBO CHOONGWA</t>
  </si>
  <si>
    <t>RTA TO MERCEDES BENZ ALL 400</t>
  </si>
  <si>
    <t>010/401/9/023041/2025</t>
  </si>
  <si>
    <t>STEPHEN PHIRI ABL 8045</t>
  </si>
  <si>
    <t>31//12/2025</t>
  </si>
  <si>
    <t>RTA TO TOYOTA HILUX GRZ 474DC</t>
  </si>
  <si>
    <t>010/401/9/023042/2025</t>
  </si>
  <si>
    <t>TOYOTA ALLION BAP 4181</t>
  </si>
  <si>
    <t>AGNESS CHIIMBWE</t>
  </si>
  <si>
    <t xml:space="preserve">RTA TO TOYOTA PASSO </t>
  </si>
  <si>
    <t>010/401/9/023043/2025</t>
  </si>
  <si>
    <t>PATRICK S MWAPE / ZACL</t>
  </si>
  <si>
    <t>RTA TO HYUNDAI SANTAFE ABK 2270</t>
  </si>
  <si>
    <t>010/401/9/023044/2025</t>
  </si>
  <si>
    <t>MUSEBA EUGENE -ABR 7995, FRED MWAPE BAR 6565</t>
  </si>
  <si>
    <t>31/122025</t>
  </si>
  <si>
    <t>SELINA NKHOMA</t>
  </si>
  <si>
    <t>RTA TO TOYOTA RUSH BAG 3811</t>
  </si>
  <si>
    <t>010/401/9/023046/2025</t>
  </si>
  <si>
    <t>JOSIA NYAKULO - TOYOTA PORTE BAH 3520</t>
  </si>
  <si>
    <t>08.09.2025</t>
  </si>
  <si>
    <t>15.09.2025</t>
  </si>
  <si>
    <t>ORANGE PHARMA LTD</t>
  </si>
  <si>
    <t>RTA TO NISSAN NP200 CAC 7855</t>
  </si>
  <si>
    <t>010/401/9/023048/2025</t>
  </si>
  <si>
    <t>06.09.2025</t>
  </si>
  <si>
    <t>17.09.2025</t>
  </si>
  <si>
    <t>CLEMOTEX ENGINEERING</t>
  </si>
  <si>
    <t>RTA TO TOYOTA HILUX BLB 3301</t>
  </si>
  <si>
    <t>010/401/9/023052/2025</t>
  </si>
  <si>
    <t>RTA TO TOYOTA COROLLA ALP 1107</t>
  </si>
  <si>
    <t>010/401/9/023056/2025</t>
  </si>
  <si>
    <t>19.09.2025</t>
  </si>
  <si>
    <t>EMMANUEL MWENDA</t>
  </si>
  <si>
    <t>RTA TO TOYOTA VEROSSA AIB 6585</t>
  </si>
  <si>
    <t>010/401/9/023060/2025</t>
  </si>
  <si>
    <t>23.09.2025</t>
  </si>
  <si>
    <t>LEMSON LUNDA</t>
  </si>
  <si>
    <t>RTA TO TOYOTA ALLEX ALT 8902</t>
  </si>
  <si>
    <t>010/401/9/023061/2025</t>
  </si>
  <si>
    <t>24.09.2025</t>
  </si>
  <si>
    <t>JULIET NJOBVU</t>
  </si>
  <si>
    <t>RTA TO TOYOTA COROLLA ALR 4496</t>
  </si>
  <si>
    <t>010/401/9/023062/2025</t>
  </si>
  <si>
    <t>21.06.2026</t>
  </si>
  <si>
    <t>10.09.2025</t>
  </si>
  <si>
    <t>PETRONELLA KASAKULA</t>
  </si>
  <si>
    <t>WINDSCREEN - TOYOTA VITZ ALR 2054</t>
  </si>
  <si>
    <t>010/401/9/023064/2025</t>
  </si>
  <si>
    <t>18.09.2025</t>
  </si>
  <si>
    <t>JAMES NKHOMO</t>
  </si>
  <si>
    <t>RTA TO TOYOTA RUNX ALT 1768</t>
  </si>
  <si>
    <t>010/401/9/023065/2025</t>
  </si>
  <si>
    <t>14.09.2025</t>
  </si>
  <si>
    <t>NYAMBE ALBERTO SIMUSHI</t>
  </si>
  <si>
    <t>THEFT FROM TOYOTA VITZ ACZ 4214</t>
  </si>
  <si>
    <t>010/401/9/023066/2025</t>
  </si>
  <si>
    <t>CHINGENI NDHLOVU</t>
  </si>
  <si>
    <t>RTA TO TOYOTA ALLION BAJ 407</t>
  </si>
  <si>
    <t>010/401/9/023068/2025</t>
  </si>
  <si>
    <t>12.12.2024</t>
  </si>
  <si>
    <t>DELIGHT MUSAMA MWENYA</t>
  </si>
  <si>
    <t>RTA TO TOYOTA VITZ CAF 4654</t>
  </si>
  <si>
    <t>010/401/9/023069/2025</t>
  </si>
  <si>
    <t>21.02.2025</t>
  </si>
  <si>
    <t>20.02.2026</t>
  </si>
  <si>
    <t>RTA TO GRZ 333CP</t>
  </si>
  <si>
    <t>010/401/9/023071/2025</t>
  </si>
  <si>
    <t>SHANHAI CONSTRUCTION</t>
  </si>
  <si>
    <t>MERCEDES BENZ ALX 7333</t>
  </si>
  <si>
    <t>010/401/9/023073/2025</t>
  </si>
  <si>
    <t>PENDING WINDSCREEN QUOTATION</t>
  </si>
  <si>
    <t>BRIAN MUTALE/ZACL</t>
  </si>
  <si>
    <t>RTA TO TOYOTA PREMIO ACK 3830</t>
  </si>
  <si>
    <t>010/401/9/023075/2025</t>
  </si>
  <si>
    <t>TOM BANDA</t>
  </si>
  <si>
    <t>RTA TO HONDA FIT CAE 5194</t>
  </si>
  <si>
    <t>010/401/9/023078/2025</t>
  </si>
  <si>
    <t>F. NGULUBE - BUBARU CAF 5175</t>
  </si>
  <si>
    <t>SAMSON CHIMBO</t>
  </si>
  <si>
    <t>RTA TO TOYOTA RUNX BAH 5819</t>
  </si>
  <si>
    <t>010/401/9/023088/2025</t>
  </si>
  <si>
    <t>MUTALE PONDE</t>
  </si>
  <si>
    <t>RTA TO TOYOTA IST ALT 5784</t>
  </si>
  <si>
    <t>010/401/9/023091/2025</t>
  </si>
  <si>
    <t>25.09.2025</t>
  </si>
  <si>
    <t>CHIPO MWEWA CHUNGU</t>
  </si>
  <si>
    <t>RTA TO HONDA FIT CAF 724ZM</t>
  </si>
  <si>
    <t>010/401/9/023097/2025</t>
  </si>
  <si>
    <t>SPHIWE GEORGE BANDA</t>
  </si>
  <si>
    <t>RTA TO TOYOTA MARK X BCD 2352ZM</t>
  </si>
  <si>
    <t>010/401/9/023100/2025</t>
  </si>
  <si>
    <t>CHIPO PALALE</t>
  </si>
  <si>
    <t>RTA TO TOYOTA RUNX BAE 3562</t>
  </si>
  <si>
    <t>010/401/9/023103/03/2025</t>
  </si>
  <si>
    <t>KENNEDY MUSONDA</t>
  </si>
  <si>
    <t>RTA TO TOYOTA VITZ AIC 3409</t>
  </si>
  <si>
    <t>010/401/9/023105/2025</t>
  </si>
  <si>
    <t>26.05.2026</t>
  </si>
  <si>
    <t>LUKONGA SHAPA</t>
  </si>
  <si>
    <t>RTA INVOLVING ISUZU KB300 ALZ 6905</t>
  </si>
  <si>
    <t>010/401/9/023107/2025</t>
  </si>
  <si>
    <t>DISCHARGE RECEIVED ON 02.12.2025</t>
  </si>
  <si>
    <t>UCZ - TRINITY CONGREGATION</t>
  </si>
  <si>
    <t>RTA TO TOYOTA HILUX ALZ 1905</t>
  </si>
  <si>
    <t>010/401/9/023116/2025</t>
  </si>
  <si>
    <t>12.09.2025</t>
  </si>
  <si>
    <t>INVOICE RECEIVED ON 03.12.2025</t>
  </si>
  <si>
    <t>CABINET OFFICE - OFFICE OF THER</t>
  </si>
  <si>
    <t>RTA TO GRZ 993</t>
  </si>
  <si>
    <t>010/401/9/023119/2025</t>
  </si>
  <si>
    <t>10.10.2025</t>
  </si>
  <si>
    <t>RTA TO MAZDA BT50 GRZ 515CN</t>
  </si>
  <si>
    <t>010/401/9/023120/2025</t>
  </si>
  <si>
    <t>THEFT FROM MAZDA BT50 GRZ 702CN</t>
  </si>
  <si>
    <t>010/401/9/023121/2025</t>
  </si>
  <si>
    <t>21.08.2025</t>
  </si>
  <si>
    <t>RTA TO NISSAN NAVARA GRZ 397CZ</t>
  </si>
  <si>
    <t>010/401/9/023122/2025</t>
  </si>
  <si>
    <t xml:space="preserve">AVIC INTERNATIONAL </t>
  </si>
  <si>
    <t>RTA TO TOYOTA HILUX BAG 1439</t>
  </si>
  <si>
    <t>010/401/9/023123/2025</t>
  </si>
  <si>
    <t>31.12.205</t>
  </si>
  <si>
    <t>SIGNED DISCHARGE RECEIVED ON 22.12.2025</t>
  </si>
  <si>
    <t>ISABEL NGAMBI</t>
  </si>
  <si>
    <t>RTA TO TOYOTA PRADO ABT 6036</t>
  </si>
  <si>
    <t>010/401/9/023128/2025</t>
  </si>
  <si>
    <t>29.09.2025</t>
  </si>
  <si>
    <t>SIGNED DISCHARGE RECEIVED ON 26.12.2025</t>
  </si>
  <si>
    <t>RTA TO TOYOTA COROLLA AXIO BBA 4018</t>
  </si>
  <si>
    <t>010/401/9/023131/2025</t>
  </si>
  <si>
    <t>29.07.2026</t>
  </si>
  <si>
    <t>POWELL SIBALWA</t>
  </si>
  <si>
    <t>RTA TO TOYOTA FIELDER BBD 12</t>
  </si>
  <si>
    <t>010/401/9/023136/2025</t>
  </si>
  <si>
    <t>13.10.2025</t>
  </si>
  <si>
    <t>PIUS MUMBA CHAMATETE</t>
  </si>
  <si>
    <t>RTA TO MERCEDES BENZ BBC 6711</t>
  </si>
  <si>
    <t>010/401/9/023137/2025</t>
  </si>
  <si>
    <t>07.08.2026</t>
  </si>
  <si>
    <t>03.10.2025</t>
  </si>
  <si>
    <t>NAMASIKU MUNUWANYAMBE</t>
  </si>
  <si>
    <t>RTA TO TOYOTA RUNX BAB 6815</t>
  </si>
  <si>
    <t>010/401/9/023139/2025</t>
  </si>
  <si>
    <t>14.10.2025</t>
  </si>
  <si>
    <t>STERELIN MEDICAL &amp; DIAGNOSTICS</t>
  </si>
  <si>
    <t>WINDSCREEN NISSAN CIVILIAN ALV 9579</t>
  </si>
  <si>
    <t>010/401/9/023140/2025</t>
  </si>
  <si>
    <t>07.10.2025</t>
  </si>
  <si>
    <t>MOSES MAPULANGA</t>
  </si>
  <si>
    <t>RTA TO TOYOTA IST BBD 1498</t>
  </si>
  <si>
    <t>010/401/9/023143/2025</t>
  </si>
  <si>
    <t>16.01.225</t>
  </si>
  <si>
    <t>20.09.2025</t>
  </si>
  <si>
    <t>17.10.2025</t>
  </si>
  <si>
    <t>TP CLAIM SETTLED - PENDING OD</t>
  </si>
  <si>
    <t>TOM FELESIANO MUMBA</t>
  </si>
  <si>
    <t>RTA TO TOYOTA CHASER ALF 2860</t>
  </si>
  <si>
    <t>010/401/9/023144/2025</t>
  </si>
  <si>
    <t>PENDING MISSING DOCUMENTS</t>
  </si>
  <si>
    <t>PAMELA M. NKOLOMA</t>
  </si>
  <si>
    <t>RTA TO TOYOTA WISH ADE 434</t>
  </si>
  <si>
    <t>010/401/9/023147/2025</t>
  </si>
  <si>
    <t>26.04.2025</t>
  </si>
  <si>
    <t>DISMAAS KALOMBWE</t>
  </si>
  <si>
    <t>RTA TO TOYOTA TOWNACE ACM 5321</t>
  </si>
  <si>
    <t>DOUGLAS TEMBO</t>
  </si>
  <si>
    <t>RTA NISSAN MURANO ALT 6800</t>
  </si>
  <si>
    <t>010/401/9/023148/2025</t>
  </si>
  <si>
    <t>WARREN KAONGA</t>
  </si>
  <si>
    <t>RTA TO TOYOTA FIELDER AHB 6985</t>
  </si>
  <si>
    <t>010/401/9/023150/2025</t>
  </si>
  <si>
    <t>24.09.20250</t>
  </si>
  <si>
    <t xml:space="preserve">MWEWA MUBANGA </t>
  </si>
  <si>
    <t>RTA TO TOYOTA AXIO BCB 2130</t>
  </si>
  <si>
    <t>010/401/9/023152/2025</t>
  </si>
  <si>
    <t>11.10.2025</t>
  </si>
  <si>
    <t>DISCHARE RECEIVED ON 16.12.2025</t>
  </si>
  <si>
    <t>LISCA SHIYENGE</t>
  </si>
  <si>
    <t>RTA TO SUZUKI ESCUDO ALG 3324</t>
  </si>
  <si>
    <t>010/401/9/023153/2025</t>
  </si>
  <si>
    <t>16.10.2025</t>
  </si>
  <si>
    <t>SHEZIPI BANDA</t>
  </si>
  <si>
    <t>RTA TO TOYOTA VOXY CAE 1346</t>
  </si>
  <si>
    <t>010/401/9/023158/2025</t>
  </si>
  <si>
    <t>09.07.205</t>
  </si>
  <si>
    <t>08.07.20226</t>
  </si>
  <si>
    <t>010/401/9/023159/2025</t>
  </si>
  <si>
    <t>21.10.2025</t>
  </si>
  <si>
    <t>RICHARD SHAWA</t>
  </si>
  <si>
    <t>RTA TO TOYOTA ALLION BBA 8768</t>
  </si>
  <si>
    <t>010/401/9/023166/2025</t>
  </si>
  <si>
    <t>RTA TO TOYOTA LANDRUISER GRZ 478CJ</t>
  </si>
  <si>
    <t>010/401/9/023171/2025</t>
  </si>
  <si>
    <t>04.10.2025</t>
  </si>
  <si>
    <t>29.10.2025</t>
  </si>
  <si>
    <t>RTA TO TOYOTA HILUX GRZ 330CZ</t>
  </si>
  <si>
    <t>010/401/9/023172/2025</t>
  </si>
  <si>
    <t>RTA TO MAZDA BT50 GRZ 948</t>
  </si>
  <si>
    <t>010/401/9/023174/2025</t>
  </si>
  <si>
    <t>HENRY MTONGA</t>
  </si>
  <si>
    <t>RTA TO TOYOTA REGIUS BCB 8026</t>
  </si>
  <si>
    <t>010/401/9/023175/2025</t>
  </si>
  <si>
    <t>RTA TO TOYOTA HILUX GRZ 325CZ</t>
  </si>
  <si>
    <t>010/401/9/023178/2025</t>
  </si>
  <si>
    <t>AGNES MADALISO BANDA</t>
  </si>
  <si>
    <t>THEFT FROM TOYOTA SPACIO BAA 7548</t>
  </si>
  <si>
    <t>31.10.2025</t>
  </si>
  <si>
    <t>LUNGOWE MVULA</t>
  </si>
  <si>
    <t>RTA T MAZDA CX-5 CAC 7090</t>
  </si>
  <si>
    <t>010/401/9/023179/2025</t>
  </si>
  <si>
    <t>010/401/9/023180/2025</t>
  </si>
  <si>
    <t>SIGNED DISCHARGE RECEIVED ON 31.12.025</t>
  </si>
  <si>
    <t>LISULO MONICA MOOYA/NOMSA</t>
  </si>
  <si>
    <t>RTA TO NISSAN TIIDA ALC 5650</t>
  </si>
  <si>
    <t>010/401/9/023184/2025</t>
  </si>
  <si>
    <t>PENDING PHYSICAL INSPECTION PHOTOS</t>
  </si>
  <si>
    <t>CONSTANCE  NTILIMA</t>
  </si>
  <si>
    <t>010/401/9/023185/2025</t>
  </si>
  <si>
    <t>07.11.2025</t>
  </si>
  <si>
    <t>Missing Documents</t>
  </si>
  <si>
    <t>CONSTANCE MUTALE</t>
  </si>
  <si>
    <t>RTA TO TOYOTA BELTA AIE 8803</t>
  </si>
  <si>
    <t>070/401/9/005560/2025</t>
  </si>
  <si>
    <t>OUSTANDING BALNCE ON ACCOUNT</t>
  </si>
  <si>
    <t>MANAL INVESTMENTS</t>
  </si>
  <si>
    <t>RTA TO TOYOTA HARRIER BAP 8980</t>
  </si>
  <si>
    <t>010/401/9/023189/2025</t>
  </si>
  <si>
    <t>27.08.2026</t>
  </si>
  <si>
    <t>04.11.2025</t>
  </si>
  <si>
    <t xml:space="preserve">SIKOPO NDUI </t>
  </si>
  <si>
    <t>RTA TO NISSAN TERRANO AKB 2912</t>
  </si>
  <si>
    <t>010/401/1/082440/2025/</t>
  </si>
  <si>
    <t>27.10.2025</t>
  </si>
  <si>
    <t>CHISANGA CHIWALA</t>
  </si>
  <si>
    <t>RTA TO VW PASSAT</t>
  </si>
  <si>
    <t>010/401/9/023192/2025</t>
  </si>
  <si>
    <t>26.10.2025</t>
  </si>
  <si>
    <t xml:space="preserve"> SIGND DISCHARGE RECIVED ON 15.12.2025</t>
  </si>
  <si>
    <t>NIRUBEN J. PATEL</t>
  </si>
  <si>
    <t>RTA TO TOYOTA COROLLA BAA 5120</t>
  </si>
  <si>
    <t>010/401/9/023193/2025</t>
  </si>
  <si>
    <t>FRIDAH MUTALIFE - TOYOTA COROLLA ALTIS AIF 4474</t>
  </si>
  <si>
    <t>TIBONGE NG'AMBI</t>
  </si>
  <si>
    <t>WINDSCREEN - TOYOTA IST BAA 8617</t>
  </si>
  <si>
    <t>010/401/9/023194/2025</t>
  </si>
  <si>
    <t>ROSY ZULU</t>
  </si>
  <si>
    <t>RTA TO TOYOTA IST CAC 2461</t>
  </si>
  <si>
    <t>010/401/9/023196/2025</t>
  </si>
  <si>
    <t>01.11.2025</t>
  </si>
  <si>
    <t>DISCHARGE RECIVED 12.12.2025</t>
  </si>
  <si>
    <t>NSAPATO AND COMPANY  CAPITAL LTD</t>
  </si>
  <si>
    <t>RTA TO MAZDA AXELA APB 3905</t>
  </si>
  <si>
    <t>010/401/9/023201/2025</t>
  </si>
  <si>
    <t>22.07.2026</t>
  </si>
  <si>
    <t>DISCHARGE RECIVED 04.12.2025 - PAID 27 PENDING K70,000.00</t>
  </si>
  <si>
    <t>ORANGE PHARMA</t>
  </si>
  <si>
    <t>RTA TO TOYOTA HIACE BAX 2494</t>
  </si>
  <si>
    <t>010/401/9/023205/2025</t>
  </si>
  <si>
    <t>17.11.2025</t>
  </si>
  <si>
    <t>TIKWA KAPAPA</t>
  </si>
  <si>
    <t>RTA TO TOYOTA ALLION BBA 9378</t>
  </si>
  <si>
    <t>010/401/9/023207/2025</t>
  </si>
  <si>
    <t>18.04.2026</t>
  </si>
  <si>
    <t>GEORGE KAMWI</t>
  </si>
  <si>
    <t>RTA TO TOYOTA WISH BLB 6466</t>
  </si>
  <si>
    <t>010/401/9/023212/2025</t>
  </si>
  <si>
    <t>14.11.2025</t>
  </si>
  <si>
    <t>THERESA NKOLE</t>
  </si>
  <si>
    <t>RTA TO ISUZU BAF 9495</t>
  </si>
  <si>
    <t>010/401/9/023217/2025</t>
  </si>
  <si>
    <t>30.10.2026</t>
  </si>
  <si>
    <t>21.09.2025</t>
  </si>
  <si>
    <t xml:space="preserve">ZAMBIA AIRA5:A667PORTS </t>
  </si>
  <si>
    <t>TOYOTA COROLLA ALT 8662</t>
  </si>
  <si>
    <t>010/401/9/023218/2025</t>
  </si>
  <si>
    <t>ELINAH NYALA</t>
  </si>
  <si>
    <t>MARK M CHOONGWA</t>
  </si>
  <si>
    <t>010/401/9/0232279/2025</t>
  </si>
  <si>
    <t>25.10.2025</t>
  </si>
  <si>
    <t xml:space="preserve">PRECIOUS MUSONDA </t>
  </si>
  <si>
    <t>RTA TO TOYOTA HARIER BAV 1604</t>
  </si>
  <si>
    <t>010/401/9/023229/2025</t>
  </si>
  <si>
    <t>04.01.2025</t>
  </si>
  <si>
    <t>24.11.2025</t>
  </si>
  <si>
    <t>NG'ANDWE KAPITO MWAPE / CHRISTOPHER SHAMENDE</t>
  </si>
  <si>
    <t>RTA TO FORD RANGER ALT 8715</t>
  </si>
  <si>
    <t>010/401/9/023231/2025</t>
  </si>
  <si>
    <t>13.08.2026</t>
  </si>
  <si>
    <t>21.11.2025</t>
  </si>
  <si>
    <t>WINDSCREEN TOYOTAHILUX GRZ 501CX</t>
  </si>
  <si>
    <t>010/401/9/023233/2025</t>
  </si>
  <si>
    <t>WINDSCREEN TOYOTA LANDCRUISER GRZ 443CV</t>
  </si>
  <si>
    <t>010/401/9/023234/2025</t>
  </si>
  <si>
    <t>WINDSCREEN ISUZU GRZ 982cn</t>
  </si>
  <si>
    <t>010/401/9/023235/2025</t>
  </si>
  <si>
    <t>REUBEN SAKALA</t>
  </si>
  <si>
    <t>RTA TO TOYOTA AURIS AHC 106</t>
  </si>
  <si>
    <t>010/401/9/023239/2025</t>
  </si>
  <si>
    <t>WILLIAM KAPAMBWE</t>
  </si>
  <si>
    <t>RTA TO FORD RANGER BAE 6250</t>
  </si>
  <si>
    <t>010/401/9/023240/2025</t>
  </si>
  <si>
    <t>10.03.2026</t>
  </si>
  <si>
    <t>02.12.2025</t>
  </si>
  <si>
    <t>PENDING INVOICE FRPM THE GARAGE</t>
  </si>
  <si>
    <t>AVINASH ASHOCK MISHRA</t>
  </si>
  <si>
    <t>RTA TO TOYOTA LANDCRUISER RAM 92</t>
  </si>
  <si>
    <t>010/401/9/023242/2025</t>
  </si>
  <si>
    <t>23.11.2025</t>
  </si>
  <si>
    <t>SINDISO SICHONE</t>
  </si>
  <si>
    <t>RTA TO TOYOTA HARRIER CAG 5168</t>
  </si>
  <si>
    <t>010/401/9/023243/2025</t>
  </si>
  <si>
    <t>SIDE MIRROR - TOYOTA PROBOX CAA 3799</t>
  </si>
  <si>
    <t>010/401/9/023244/2025</t>
  </si>
  <si>
    <t>ANGELA MUKOBE</t>
  </si>
  <si>
    <t>PENDING TP DOCUMENTS AND QUOTATIONS</t>
  </si>
  <si>
    <t xml:space="preserve">CHAPANSI CHONGO </t>
  </si>
  <si>
    <t>WINDSCREEN DAMAGE - TOYOTA IST AID 6812</t>
  </si>
  <si>
    <t>010/401/9/023246/2025</t>
  </si>
  <si>
    <t xml:space="preserve">WINNER KABUNDA </t>
  </si>
  <si>
    <t>WINDSCREEN - TOYOTA HILUX ALZ 9672</t>
  </si>
  <si>
    <t>010/401/9/023247/2025</t>
  </si>
  <si>
    <t>PATRICK CHANDA</t>
  </si>
  <si>
    <t>RTA TO TOYOTA HIACE CAF 7095</t>
  </si>
  <si>
    <t>010/401/9/023248/2025</t>
  </si>
  <si>
    <t>13.12.2025</t>
  </si>
  <si>
    <t>CHRISTINE LUTOMBI MIYATO</t>
  </si>
  <si>
    <t>TOYOTA RUSH BAZ 72</t>
  </si>
  <si>
    <t>010/401/9/023250/2025</t>
  </si>
  <si>
    <t>CHANDA HAKALOWA</t>
  </si>
  <si>
    <t>PENDING MISSING THIRD PARTY DOCUMENTS</t>
  </si>
  <si>
    <t>STERELIN MEDICAL AND DIAGNOSTICS</t>
  </si>
  <si>
    <t>RTA TO TOYOTA COROLLA ALZ 8151</t>
  </si>
  <si>
    <t>010/401/9/023251/2025</t>
  </si>
  <si>
    <t>08.11.2025</t>
  </si>
  <si>
    <t>08.12.2025</t>
  </si>
  <si>
    <t xml:space="preserve">PENDING SIGNED DISCHARGE </t>
  </si>
  <si>
    <t>UNIVERSITY OF LUSAKA</t>
  </si>
  <si>
    <t>RTA TO AEOLUS WATER BOUSER CAC 4295</t>
  </si>
  <si>
    <t>010/401/9/023254/2025</t>
  </si>
  <si>
    <t>BAO GUANMEL - TOYOTA HIACE CAH 7481</t>
  </si>
  <si>
    <t>DISCHARGE RECEIVED ON 22.12.2025</t>
  </si>
  <si>
    <t xml:space="preserve">AVIC PROJECT ENGINEERING </t>
  </si>
  <si>
    <t>RTA TO TOYOTA CRUISER ALD 4863</t>
  </si>
  <si>
    <t>010/401/9/023257/2025</t>
  </si>
  <si>
    <t>11.12.2024</t>
  </si>
  <si>
    <t>10.12.2025</t>
  </si>
  <si>
    <t>MARTIN MPANGAYONSE</t>
  </si>
  <si>
    <t>FIRE DAMAGE - TOYOTA HILUX SURF ABA 8871</t>
  </si>
  <si>
    <t>010/401/9/023258/2025</t>
  </si>
  <si>
    <t>UNDER INVESTIGATION</t>
  </si>
  <si>
    <t>KACHALA BERNARD LOMBE</t>
  </si>
  <si>
    <t>RTA TO TOYOTA RUNX BLD 3134</t>
  </si>
  <si>
    <t>010/401/9/023260/2025</t>
  </si>
  <si>
    <t>REPORT RECIVED ON 30.12.2025</t>
  </si>
  <si>
    <t>CHRISTOPHER MUNACHUKA</t>
  </si>
  <si>
    <t>RTA TO TOYOTA MARK II  ABJ 5255</t>
  </si>
  <si>
    <t>010/401/9/023262/2025</t>
  </si>
  <si>
    <t>ROYCE KAPENDA</t>
  </si>
  <si>
    <t>02.07.225</t>
  </si>
  <si>
    <t>PENDING THIRD PARTY DOCUMENTS</t>
  </si>
  <si>
    <t>CHALTON MWALA</t>
  </si>
  <si>
    <t>010/401/9/023266/2025</t>
  </si>
  <si>
    <t>DOUBT FARMS - AHB 8319</t>
  </si>
  <si>
    <t>22.01.2026</t>
  </si>
  <si>
    <t>PENDING SIGNED DISCHARGE AND INVOICE</t>
  </si>
  <si>
    <t>MZENJE LUSUNGU</t>
  </si>
  <si>
    <t>RTA TO TOYOTA MARK X BLD 569</t>
  </si>
  <si>
    <t>010/401/9/023268/2025</t>
  </si>
  <si>
    <t>24.03.2026</t>
  </si>
  <si>
    <t>11.12.2025</t>
  </si>
  <si>
    <t>UNDER VALIDATION</t>
  </si>
  <si>
    <t>MATTHEWS MTONGA</t>
  </si>
  <si>
    <t>RTA INVOLVING TOYOTA AURIS BLC 1959</t>
  </si>
  <si>
    <t>010/401/9/023270/2025</t>
  </si>
  <si>
    <t>DAVID GOMA- ISUZU ALX 456</t>
  </si>
  <si>
    <t>FU DEJIAN</t>
  </si>
  <si>
    <t>RTA TO TOYOTA VELFIRE CAA 6783</t>
  </si>
  <si>
    <t>010/401/9/023274/2025 - 010/410/9/0000013/2025/12</t>
  </si>
  <si>
    <t>MERCY BANDA - TOYOTA IST BAG 2601</t>
  </si>
  <si>
    <t>19.09.2026</t>
  </si>
  <si>
    <t>07.12.2025</t>
  </si>
  <si>
    <t>CHRISTOPHER KALOMBO</t>
  </si>
  <si>
    <t>RTA TO MAZDA BT50 AJE 6435</t>
  </si>
  <si>
    <t>010/401/9/023276/2025</t>
  </si>
  <si>
    <t>BWALYA NUNDALA</t>
  </si>
  <si>
    <t>18.12.2025</t>
  </si>
  <si>
    <t>PREMIUM VERIFICATION</t>
  </si>
  <si>
    <t>HOPE KALABA / SYDNEY MPUNDU</t>
  </si>
  <si>
    <t>RTA TO TOYOTA PASSO BBA 8685</t>
  </si>
  <si>
    <t>010/401/9/023278/2025</t>
  </si>
  <si>
    <t>RTA TO RENALT KUGER GRZ 264</t>
  </si>
  <si>
    <t>010/401/9/023280/2025</t>
  </si>
  <si>
    <t>23.01.2026</t>
  </si>
  <si>
    <t>19.12.2025</t>
  </si>
  <si>
    <t>MAZDA GRZ 642CR</t>
  </si>
  <si>
    <t>010/401/9/023281/2025</t>
  </si>
  <si>
    <t>KAKANDA DAKA</t>
  </si>
  <si>
    <t xml:space="preserve">ZAMBIA AIRPORTS </t>
  </si>
  <si>
    <t>TOYOTA HILUX BAC 3190</t>
  </si>
  <si>
    <t>010/401/9/023282/2025</t>
  </si>
  <si>
    <t>MWENDAI NDUMBA</t>
  </si>
  <si>
    <t>HONDA FIT CAG 9274ZM</t>
  </si>
  <si>
    <t>010/401/9/023285/2025</t>
  </si>
  <si>
    <t>18.08..2025</t>
  </si>
  <si>
    <t>17.08.2026</t>
  </si>
  <si>
    <t>02.11.2025</t>
  </si>
  <si>
    <t>TIKAMBENJI CHILUFYA</t>
  </si>
  <si>
    <t>RTA TO TOYOTA IST ALM 3665</t>
  </si>
  <si>
    <t>010/401/9/023286/2025</t>
  </si>
  <si>
    <t>04.12.2025</t>
  </si>
  <si>
    <t>MELODY MAYIYA</t>
  </si>
  <si>
    <t>THEFT FROM TOYOTA IST BAC 518</t>
  </si>
  <si>
    <t>010/401/9/023289/2025</t>
  </si>
  <si>
    <t>17.1.2026</t>
  </si>
  <si>
    <t>MPANDE CLARENCE</t>
  </si>
  <si>
    <t>RTA TO TOYOTA ALLION BCB 8ZM</t>
  </si>
  <si>
    <t>010/401/9/023290/2025</t>
  </si>
  <si>
    <t>23.12.204</t>
  </si>
  <si>
    <t>MARIA ANGELA CHIMINO</t>
  </si>
  <si>
    <t>WINDSCREEN - TOYOTA COROLLA AQB 2664</t>
  </si>
  <si>
    <t>010/401/9/023291/2025</t>
  </si>
  <si>
    <t>OSCAR MWEENE FARMS</t>
  </si>
  <si>
    <t>RTA TO TOYOTA HILUX CAG 4999</t>
  </si>
  <si>
    <t>010/401/9/023294/2025</t>
  </si>
  <si>
    <t>02.04.2026</t>
  </si>
  <si>
    <t>CLAIM RECIVED ON 30.12.2025</t>
  </si>
  <si>
    <t xml:space="preserve">THANDIWE PATRICIA </t>
  </si>
  <si>
    <t>RTA TO TOYOTA ALPHARD BBC 3072</t>
  </si>
  <si>
    <t>010/401/9/023298/2025</t>
  </si>
  <si>
    <t>DOCUMENTS RECEIVED ON 26.12.2025</t>
  </si>
  <si>
    <t>RTA TO MERCEDEZ BENZ BBD 8354</t>
  </si>
  <si>
    <t>EMMANUEL NZUMBA</t>
  </si>
  <si>
    <t>RTA TO TOYOTA GAIA ACP 8601</t>
  </si>
  <si>
    <t>010/401/9023080/2025</t>
  </si>
  <si>
    <t>FLEET COMPANY - CAA 7162</t>
  </si>
  <si>
    <t>SAMUEL SILUONDE</t>
  </si>
  <si>
    <t>RTA INVOLVING LEXUS IS250 CAH 4197</t>
  </si>
  <si>
    <t>010/410/9/000015/2025/12</t>
  </si>
  <si>
    <t>LINDA CHANSA (RICKSON WALUMWIPI) - TOYOTA MARK X  BBA 8415</t>
  </si>
  <si>
    <t>FAIRY INVESTMENTS</t>
  </si>
  <si>
    <t>RTA INVOLVING TOYOTA HILUX ALB 6709</t>
  </si>
  <si>
    <t>010/410/9/023087/2025</t>
  </si>
  <si>
    <t>ALICK BANDA - TOYOTA CORONA ABT 4071</t>
  </si>
  <si>
    <t>WINDSCREEN DAMAGE TO  TOYOTA L/CRUISER BAZ 6739</t>
  </si>
  <si>
    <t>011/401/1/077894/2023</t>
  </si>
  <si>
    <t>$60,000.00</t>
  </si>
  <si>
    <t>INVENTTA ENERGY ZAMBIA</t>
  </si>
  <si>
    <t>RTA TO ISUZU D-MAX CAC 2098</t>
  </si>
  <si>
    <t>011/401/9/022252/2024</t>
  </si>
  <si>
    <t>$39,550.00</t>
  </si>
  <si>
    <t>04.06.2024</t>
  </si>
  <si>
    <t>22.11.2025</t>
  </si>
  <si>
    <t>MOIC LN CONSORTIUM LIMITED</t>
  </si>
  <si>
    <t>WINDSCREEN DAMAGE - CAE 4799</t>
  </si>
  <si>
    <t>011/401/9/022308/2025</t>
  </si>
  <si>
    <t>$33362.08</t>
  </si>
  <si>
    <t>WINDSCREEN - TOYOTA HILUX BBD 7346</t>
  </si>
  <si>
    <t>011/401/9/022329/2025</t>
  </si>
  <si>
    <t>$40,000.00</t>
  </si>
  <si>
    <t>10.11.2024</t>
  </si>
  <si>
    <t>KAWAMBWA SUGAR LTD</t>
  </si>
  <si>
    <t>RTA TO TOYOTA HILUX BBC 7788</t>
  </si>
  <si>
    <t>011/401/9/022383/2025</t>
  </si>
  <si>
    <t>$35,500.00</t>
  </si>
  <si>
    <t>LAMECK CHALWE</t>
  </si>
  <si>
    <t>08.01..2024</t>
  </si>
  <si>
    <t>31.012.2024</t>
  </si>
  <si>
    <t>09.05.2024</t>
  </si>
  <si>
    <t>OUTLIER 40000</t>
  </si>
  <si>
    <t>MAAMBA COLLIERIES LTD</t>
  </si>
  <si>
    <t>WINDSCREEN DAMAGE- CAE 7344</t>
  </si>
  <si>
    <t>011/401/9/022402/2025</t>
  </si>
  <si>
    <t>$ 93,720.00</t>
  </si>
  <si>
    <t>PLR PROJECTS ZAMBIA LTD</t>
  </si>
  <si>
    <t>RTA TO TOYOTA HILUX AIE 2044</t>
  </si>
  <si>
    <t>011/401/9/022410/2025</t>
  </si>
  <si>
    <t>$26,755.00</t>
  </si>
  <si>
    <t>PETER SICHIZIA - TOYOTA RUNX AIE 2064</t>
  </si>
  <si>
    <t>13.02.2022</t>
  </si>
  <si>
    <t>NAVA AVOCADO LIMITED /KAWAMBWA SUGAR</t>
  </si>
  <si>
    <t>RTA TO TOYOTA HILUXBAE 8513</t>
  </si>
  <si>
    <t>011/401/9/022414/2025</t>
  </si>
  <si>
    <t>$36,000.00</t>
  </si>
  <si>
    <t>08.01.2024</t>
  </si>
  <si>
    <t>25.12.2025</t>
  </si>
  <si>
    <t>WAH CHEN ENTERPRISES LTD</t>
  </si>
  <si>
    <t>RTA TO FORD RANGER CAC 6315</t>
  </si>
  <si>
    <t>011/401/9/022448/2025</t>
  </si>
  <si>
    <t>$10,000.00</t>
  </si>
  <si>
    <t>WONDERFUL INDUSTRY ZAMBIA</t>
  </si>
  <si>
    <t>RTA TO FOR RANGER BAP 6806</t>
  </si>
  <si>
    <t>011/401/9/022451/2025</t>
  </si>
  <si>
    <t>$35,000.00</t>
  </si>
  <si>
    <t>BILLY MULEBI - TOYOTA HIACE BCE 3913</t>
  </si>
  <si>
    <t>GEORGE KAMEYA</t>
  </si>
  <si>
    <t>01.04.2224</t>
  </si>
  <si>
    <t>02.12.2024</t>
  </si>
  <si>
    <t>SARO AGRO LIMITED</t>
  </si>
  <si>
    <t>011/401/9/022459/2025</t>
  </si>
  <si>
    <t>$8,888.88</t>
  </si>
  <si>
    <t>DEIRDRE  M. GOVEIA</t>
  </si>
  <si>
    <t>RTA TO TOYOTA LANDCRUISER ALP 8075</t>
  </si>
  <si>
    <t>011/401/9/022492/2025</t>
  </si>
  <si>
    <t>$12,000.00</t>
  </si>
  <si>
    <t>RTA TO TOYOTA HILUX CAE 2568</t>
  </si>
  <si>
    <t>011/401/9/022529/2025</t>
  </si>
  <si>
    <t>$49,176.00</t>
  </si>
  <si>
    <t>12.03.2025</t>
  </si>
  <si>
    <t>SPECIALISED SYSTEMS</t>
  </si>
  <si>
    <t>RTA TO MITSUBISHI PAJERO ABA 2428</t>
  </si>
  <si>
    <t>011/401/9/022550/2025</t>
  </si>
  <si>
    <t>US$ 15,000.00</t>
  </si>
  <si>
    <t>CHISANGA MWENYA - TOYOTA BELTA ADF 1822</t>
  </si>
  <si>
    <t>RTA TO FORD RANGER CAE 4799</t>
  </si>
  <si>
    <t>011/401/9/022586/2025</t>
  </si>
  <si>
    <t>TOYOTA FORTUNER</t>
  </si>
  <si>
    <t>RTA TO TOYOTA SUCCEED CAD 1646</t>
  </si>
  <si>
    <t>011/401/9/022595/2025</t>
  </si>
  <si>
    <t>$10,277.77</t>
  </si>
  <si>
    <t>FINECOP ZAMBIA  BAJ 5100</t>
  </si>
  <si>
    <t>12.04.2025</t>
  </si>
  <si>
    <t>JASWIN ALLOYS MANUFACTURING LT</t>
  </si>
  <si>
    <t>RTA TO BAT 4554</t>
  </si>
  <si>
    <t>011/401/9/022616/2025</t>
  </si>
  <si>
    <t>$25,245.00</t>
  </si>
  <si>
    <t>RTA TO TOYOTA HARRIER ALE 2209</t>
  </si>
  <si>
    <t>011/401/9/022651/2025</t>
  </si>
  <si>
    <t>$3,000.00</t>
  </si>
  <si>
    <t>09.02.2025</t>
  </si>
  <si>
    <t>08.02.2026</t>
  </si>
  <si>
    <t xml:space="preserve"> </t>
  </si>
  <si>
    <t>MAAMBA ENERGY</t>
  </si>
  <si>
    <t>RTA TO TOYOTA HILUX BAP 2200</t>
  </si>
  <si>
    <t>011/401/9/022732/2025</t>
  </si>
  <si>
    <t>$45,000.00</t>
  </si>
  <si>
    <t>02.06.2025</t>
  </si>
  <si>
    <t>TWIGA CHEMICALS LIMITED</t>
  </si>
  <si>
    <t>RTA TO MITSUBISHI PAJERO BAE 6291</t>
  </si>
  <si>
    <t>011/401/9/022799/2025</t>
  </si>
  <si>
    <t>ZEBRON CHIVUNGA AND FELIX KABONGA</t>
  </si>
  <si>
    <t>MOIC CONSORTIUM</t>
  </si>
  <si>
    <t>RTA TO FORD RANGER CAE 4827</t>
  </si>
  <si>
    <t>011/401/9/022851/2025</t>
  </si>
  <si>
    <t>$33,362.08</t>
  </si>
  <si>
    <t>HON. ALEX KATAKWE</t>
  </si>
  <si>
    <t>RTA TO TOYOTA LANDCRUISER BAT 9934</t>
  </si>
  <si>
    <t>011/401/9/022853/2025</t>
  </si>
  <si>
    <t>$50,000.00</t>
  </si>
  <si>
    <t>C.S.M ENGINEER - TOYOTA BCD 8447</t>
  </si>
  <si>
    <t>SARO AGRO BAK 8377</t>
  </si>
  <si>
    <t>RTA TO ISUZU DMAX BAK 8377</t>
  </si>
  <si>
    <t>011/401/9/022974/2025</t>
  </si>
  <si>
    <t>$20,000</t>
  </si>
  <si>
    <t>SARO AGRO INDUSTRIAL</t>
  </si>
  <si>
    <t>RTA TO TOYOTA HILUX ALR 5103</t>
  </si>
  <si>
    <t>011/401/9/022985/2025</t>
  </si>
  <si>
    <t>$23,000.00</t>
  </si>
  <si>
    <t xml:space="preserve">MINGRONG YAN </t>
  </si>
  <si>
    <t>RTA TO TOYOTA LANDCRUISER YMR 9888</t>
  </si>
  <si>
    <t>011/401/9/022990/2025</t>
  </si>
  <si>
    <t>30.07.2024</t>
  </si>
  <si>
    <t>29.07.2025</t>
  </si>
  <si>
    <t>ALMACS STEEL LTD</t>
  </si>
  <si>
    <t>RTA TO FORS RANGER BLA 7494</t>
  </si>
  <si>
    <t>011/401/9/022992/2025</t>
  </si>
  <si>
    <t>NAVA AVOCADO</t>
  </si>
  <si>
    <t>TOYOTA VELFIRE BBC 9459</t>
  </si>
  <si>
    <t>011/401/9/023005/2025</t>
  </si>
  <si>
    <t>CUTHBERT TEMBO</t>
  </si>
  <si>
    <t>RTA TO TOYOTA RAV4 BAV 6186</t>
  </si>
  <si>
    <t>011/401/9/023033/2025</t>
  </si>
  <si>
    <t>LANGSON SAKALA</t>
  </si>
  <si>
    <t>23.02.2024</t>
  </si>
  <si>
    <t>07.09.2025</t>
  </si>
  <si>
    <t>ALPHA COMMODITIES</t>
  </si>
  <si>
    <t>WINDSCREEN - TOYOTA HILUX BAX 3464</t>
  </si>
  <si>
    <t>011/401/9/023040/2025</t>
  </si>
  <si>
    <t>RTA TO TOYOTA PROBOX CAG 9181</t>
  </si>
  <si>
    <t>011/401/9/023079/2025</t>
  </si>
  <si>
    <t>$ 9,200.00</t>
  </si>
  <si>
    <t>27.09.2025</t>
  </si>
  <si>
    <t>NAVA AVOCADO LIMITED</t>
  </si>
  <si>
    <t xml:space="preserve">RTA TO TOYOTA HILUX BAK 7261ZM </t>
  </si>
  <si>
    <t>011/401/9/023086/2025</t>
  </si>
  <si>
    <t>$26,000.00</t>
  </si>
  <si>
    <t>RTA TO TOYOTA HILUX CAC 8459</t>
  </si>
  <si>
    <t>011/401/9/023164/2025</t>
  </si>
  <si>
    <t>$ 41,250.00</t>
  </si>
  <si>
    <t>RTA TO TOYOTA HILUX BAK 6042</t>
  </si>
  <si>
    <t>011/401/9/023195/2025</t>
  </si>
  <si>
    <t>$38,000.00</t>
  </si>
  <si>
    <t>JASWIN ALLOYS MANUFACTURING LTD</t>
  </si>
  <si>
    <t>RTA TO TATA TRUCK BCE 4163</t>
  </si>
  <si>
    <t>011/401/9/023210/2025</t>
  </si>
  <si>
    <t>$ 40,000.00</t>
  </si>
  <si>
    <t>ALPHA COMODITIES</t>
  </si>
  <si>
    <t>RTA TO TOYOTA HILUX BAX 4235</t>
  </si>
  <si>
    <t>011/401/9/023237/2025</t>
  </si>
  <si>
    <t>$30613.04</t>
  </si>
  <si>
    <t>DEOLS MUSHIBWE</t>
  </si>
  <si>
    <t>RTA TO TOYOTA HILUX BCG 5626</t>
  </si>
  <si>
    <t>020/401/9/005354/2025</t>
  </si>
  <si>
    <t>ZAMBIA POLICE - FOTON ZP 2593</t>
  </si>
  <si>
    <t>SARAH MUKUKA, KELVIN KANGWA</t>
  </si>
  <si>
    <t>24.04.2024</t>
  </si>
  <si>
    <t>23.04.2025</t>
  </si>
  <si>
    <t>EUNICE CHIYESU</t>
  </si>
  <si>
    <t>THEFT FROM TOYOTA AXIO BCC 4895</t>
  </si>
  <si>
    <t>020/401/9/005423/2024</t>
  </si>
  <si>
    <t>09.12.2024</t>
  </si>
  <si>
    <t>MARGARET MWAPE</t>
  </si>
  <si>
    <t>RTA TO TOYOTA SIENTA AGC 1312</t>
  </si>
  <si>
    <t>020/401/9/005458/2025</t>
  </si>
  <si>
    <t>06.11.2024</t>
  </si>
  <si>
    <t>020/401/9/005480/2025</t>
  </si>
  <si>
    <t>RTA TO TOYOTA PRADO BCE 3836</t>
  </si>
  <si>
    <t>020/401/9/005481/2025</t>
  </si>
  <si>
    <t>KAPYA ORANGE</t>
  </si>
  <si>
    <t>JERRY KALALA</t>
  </si>
  <si>
    <t>RTA TO TOYOTA AXIO BCG 5712</t>
  </si>
  <si>
    <t>020/401/9/005500/2025</t>
  </si>
  <si>
    <t>STERELIN  MEDICAL BAE 9773</t>
  </si>
  <si>
    <t>BOYD ZIMBA</t>
  </si>
  <si>
    <t>SIMANGALISO NELLY SIMWANZA</t>
  </si>
  <si>
    <t>RTA TO TOYOTA IST BAG 4652</t>
  </si>
  <si>
    <t>020/401/9/005524/2025</t>
  </si>
  <si>
    <t>LESA MUYEMBE - TOYOTA LANDCRUISER BLA 4727</t>
  </si>
  <si>
    <t>JONES KAYEYI</t>
  </si>
  <si>
    <t>RTA TO TOYOTA VITZ BCG 5445</t>
  </si>
  <si>
    <t>020/401/9/005549/2025</t>
  </si>
  <si>
    <t>QUATTRO COMPANY LIMITED - TATA BU BCG 5511</t>
  </si>
  <si>
    <t>EMMANUEL LIMONGA</t>
  </si>
  <si>
    <t>TOYOTA AXIO AIF 5687</t>
  </si>
  <si>
    <t>020/401/9/005554/2025</t>
  </si>
  <si>
    <t>020/401/9/005557/2025</t>
  </si>
  <si>
    <t>MWENYA CHITALU</t>
  </si>
  <si>
    <t>RTA TO TOYOTA MARK X BCD 4884</t>
  </si>
  <si>
    <t>020/401/9/005576/2025</t>
  </si>
  <si>
    <t>MELVIS MALICHI</t>
  </si>
  <si>
    <t>RTA TO TOYOTA VITZ BCG 1665</t>
  </si>
  <si>
    <t>020/401/9/005580/2025</t>
  </si>
  <si>
    <t>22.11.2024</t>
  </si>
  <si>
    <t>TOYOTA FORTUNER BAG 4770</t>
  </si>
  <si>
    <t>020/401/9/005602/2025</t>
  </si>
  <si>
    <t>GREENWAYS INVESTMENTS LTD</t>
  </si>
  <si>
    <t>RTA TO TOYPTA IPSUM ALT 3398</t>
  </si>
  <si>
    <t>020/401/9/005606/2025</t>
  </si>
  <si>
    <t>NEWELS FIRE PROTECTION LTD</t>
  </si>
  <si>
    <t>DISCHARGE SIGNED ON 10.12.2025</t>
  </si>
  <si>
    <t>CHABU KALUNGA BUPE</t>
  </si>
  <si>
    <t>RTA TO HONDA FIT BCG 3704</t>
  </si>
  <si>
    <t>020/401/9/005616/2025</t>
  </si>
  <si>
    <t>25.01.2026</t>
  </si>
  <si>
    <t>GERALD TEMBO</t>
  </si>
  <si>
    <t>RTA TO FORD ESCAPE BCA 8248</t>
  </si>
  <si>
    <t>020/401/9/005625/2025</t>
  </si>
  <si>
    <t xml:space="preserve">ADIN SIAME </t>
  </si>
  <si>
    <t>TOYOTA HILUX ALR 2126</t>
  </si>
  <si>
    <t>020/401/9/005630/2025</t>
  </si>
  <si>
    <t>16.08.2025</t>
  </si>
  <si>
    <t>DISCHRGE RECIVED ON 31.12.2025</t>
  </si>
  <si>
    <t>NELSON SOKO</t>
  </si>
  <si>
    <t>RTA TO TOYOTA GAIA AOB 2775</t>
  </si>
  <si>
    <t>020/401/9/005632/2025</t>
  </si>
  <si>
    <t>AVIATOR TRAVEL &amp; TOURS</t>
  </si>
  <si>
    <t>RTA TO TOYOTA ALPHARD BCA 7582</t>
  </si>
  <si>
    <t>021/401/9/005516/2025</t>
  </si>
  <si>
    <t>$14,000.00</t>
  </si>
  <si>
    <t>08.05.205</t>
  </si>
  <si>
    <t>NDOLA COAL PROCESSING</t>
  </si>
  <si>
    <t>RTA TO TATA BCD 7804</t>
  </si>
  <si>
    <t>021/401/9/005539/2025</t>
  </si>
  <si>
    <t>TEDDY CHAPESHI</t>
  </si>
  <si>
    <t>YU QUINGMEI</t>
  </si>
  <si>
    <t>RTA TO TOYOTA LANDCRUIER AHB 9188</t>
  </si>
  <si>
    <t>021/401/9/005568/2025</t>
  </si>
  <si>
    <t>$70,000.00</t>
  </si>
  <si>
    <t>TAFADZWA AUDREY RUVANDO - MAZDA DEMIO UNREG</t>
  </si>
  <si>
    <t>021/401/9/005629/2025</t>
  </si>
  <si>
    <t>JOHN SILUNGWE - MITSUBISHI ROSA BCG 3990</t>
  </si>
  <si>
    <t>021/401/9/005678/2025</t>
  </si>
  <si>
    <t>BOYD NDHLOVU</t>
  </si>
  <si>
    <t>RTA TO TOYOTA FUNCARGO ACR 4353</t>
  </si>
  <si>
    <t>030/401/9/000038/2025/12</t>
  </si>
  <si>
    <t>VAALDRIFT INVESTMENT LTD</t>
  </si>
  <si>
    <t>03.11.2026</t>
  </si>
  <si>
    <t>PENDING MISSING DICUMENTS</t>
  </si>
  <si>
    <t>HARRISON CHOLA</t>
  </si>
  <si>
    <t>RTA TO TOYOTA TOWNACE BCA 9127</t>
  </si>
  <si>
    <t>030/401/9/005426/2024</t>
  </si>
  <si>
    <t>ALICK CHABALA</t>
  </si>
  <si>
    <t>WINDSCREEN - TOYOTA MARK X ADF 3975</t>
  </si>
  <si>
    <t>030/401/9/005431/2024</t>
  </si>
  <si>
    <t>MUTEBELA MUSONDA</t>
  </si>
  <si>
    <t>WINDSCREEN - HONDA FIT BCG 6416</t>
  </si>
  <si>
    <t>030/401/9/005459/2024</t>
  </si>
  <si>
    <t>11.10.2024</t>
  </si>
  <si>
    <t>MARGARET MALEMBEKA</t>
  </si>
  <si>
    <t>RTA TO TOYOTA HILUX AFB 4300</t>
  </si>
  <si>
    <t>030/401/9/005461/2025</t>
  </si>
  <si>
    <t>01.03.2024</t>
  </si>
  <si>
    <t>EDITH NAMUKONDA</t>
  </si>
  <si>
    <t>RTA TO TOYOTA COROLLA AXIO AIC 5144</t>
  </si>
  <si>
    <t>030/401/9/005472/2025</t>
  </si>
  <si>
    <t>GEORGE CHIKOWA - ABK  5149</t>
  </si>
  <si>
    <t>28.08.2024</t>
  </si>
  <si>
    <t>07.03.2025</t>
  </si>
  <si>
    <t>NDTHERMAL TECH</t>
  </si>
  <si>
    <t>RTA TO TOYOTA HILUX BCA 5472</t>
  </si>
  <si>
    <t>030/401/9/005497/2024</t>
  </si>
  <si>
    <t>OMN ENTERPRISES</t>
  </si>
  <si>
    <t>SUZUKI FORWARD AIB 3458</t>
  </si>
  <si>
    <t>030/401/9/005498/2025</t>
  </si>
  <si>
    <t>TOYOTA FIELBER ADE 8191</t>
  </si>
  <si>
    <t>030/401/9/005499/2025</t>
  </si>
  <si>
    <t>MS CARBON ZAMBIA LTD.</t>
  </si>
  <si>
    <t>RTA TO TOYOTA HILUX BAF 1194</t>
  </si>
  <si>
    <t>030/401/9/005525/2025</t>
  </si>
  <si>
    <t>28.04.2026</t>
  </si>
  <si>
    <t>NABOTH BANDA</t>
  </si>
  <si>
    <t>RTA TO TOYOTA NOAH AFB 2557</t>
  </si>
  <si>
    <t>030/401/9/005547/2025</t>
  </si>
  <si>
    <t>MWENYA MULENGA - KITWE</t>
  </si>
  <si>
    <t>RTA TO LEXUS ADE 8727</t>
  </si>
  <si>
    <t>030/401/9/005548/2025</t>
  </si>
  <si>
    <t>KABAZA KAMBINGA</t>
  </si>
  <si>
    <t>RTA TO ISUZU ABV 6407</t>
  </si>
  <si>
    <t>030/401/9/005552/2025</t>
  </si>
  <si>
    <t>13.01.2026</t>
  </si>
  <si>
    <t>JOY KASANGILI</t>
  </si>
  <si>
    <t>MALICIOUS DAMAGE - TOYOTA COROLLA ADD 3179</t>
  </si>
  <si>
    <t>030/401/9/005556/2025</t>
  </si>
  <si>
    <t>030/401/1/044850/2024/</t>
  </si>
  <si>
    <t>08.01.205</t>
  </si>
  <si>
    <t>OMN ENTERPRISED</t>
  </si>
  <si>
    <t>WINDSCREEN TOYOTA ALPHARD ADE 8192</t>
  </si>
  <si>
    <t>030/401/9/005558/2025</t>
  </si>
  <si>
    <t>OMN ENTERPRISES LIMITED</t>
  </si>
  <si>
    <t>RTA TO TOYOTA FIELDER ADE 8191</t>
  </si>
  <si>
    <t>ALBERT MWANGO</t>
  </si>
  <si>
    <t>RTA TO TOYOTA WISH AFB 3963</t>
  </si>
  <si>
    <t>030/401/9/005574/2025</t>
  </si>
  <si>
    <t>29.01.2025</t>
  </si>
  <si>
    <t xml:space="preserve">SANDRA CHONGO </t>
  </si>
  <si>
    <t>WINDSCREEN DAMAGE - TOYOTA VANGUARD ADF 290</t>
  </si>
  <si>
    <t>030/401/9/005584/2025</t>
  </si>
  <si>
    <t>15.05.2026</t>
  </si>
  <si>
    <t>SANDRA MULENGA</t>
  </si>
  <si>
    <t>WINDSCREEN - MERCEDES BENZ ASB 305</t>
  </si>
  <si>
    <t>IREEN MWILA</t>
  </si>
  <si>
    <t>RTA TO TOYOTA IST ADF 505</t>
  </si>
  <si>
    <t>030/401/9/005593/2025</t>
  </si>
  <si>
    <t>FELISTUS MUSHINKA</t>
  </si>
  <si>
    <t>RTA TO TOYOTA RUSH AFB 3953</t>
  </si>
  <si>
    <t>030/401/9/005597/2025</t>
  </si>
  <si>
    <t>MAMBWE MUNGALA - KITWE</t>
  </si>
  <si>
    <t>RTA TO VW GOLF BCH 222</t>
  </si>
  <si>
    <t>030/401/9/005641/2025</t>
  </si>
  <si>
    <t>29.11.2024</t>
  </si>
  <si>
    <t>METALOCK ENGINEERING  LTD</t>
  </si>
  <si>
    <t>RTA TO TOYOTA COROLLA ADF 3942</t>
  </si>
  <si>
    <t>030/401/9/005643/2025</t>
  </si>
  <si>
    <t>CHIMAMBA BELINDA</t>
  </si>
  <si>
    <t>RTA TO HONDA FIT ADE 9406</t>
  </si>
  <si>
    <t>030/401/9/005657/2025</t>
  </si>
  <si>
    <t>25.12.20250</t>
  </si>
  <si>
    <t>CATHOLIC MISION FRANCISCAN FATHERS</t>
  </si>
  <si>
    <t>RTA TO ISUZU KB300 BAJ 626</t>
  </si>
  <si>
    <t>030/401/9/005662/2025</t>
  </si>
  <si>
    <t>CHRISTINE NAMFUKWE</t>
  </si>
  <si>
    <t>RTA TO TOYOTA NOAH ADD 1551</t>
  </si>
  <si>
    <t>030/401/9/005675/2025</t>
  </si>
  <si>
    <t>16.09.2025</t>
  </si>
  <si>
    <t>RUTH MUSUKWA</t>
  </si>
  <si>
    <t>TOYOTA HARRIER ADE 1530ZM</t>
  </si>
  <si>
    <t>030/401/9/005687/2025</t>
  </si>
  <si>
    <t>FANNY NGOMA</t>
  </si>
  <si>
    <t>WINDSCREEN TOYOTA VITZ BAA 2522</t>
  </si>
  <si>
    <t>030/401/9/005688/2025</t>
  </si>
  <si>
    <t>27.05.2026</t>
  </si>
  <si>
    <t>JOHN KAMBINGA</t>
  </si>
  <si>
    <t>RTA TO TOYOTA PRADO BCH 1707</t>
  </si>
  <si>
    <t>030/401/9/005690/2025</t>
  </si>
  <si>
    <t>08.05.2026</t>
  </si>
  <si>
    <t>16.11.2025</t>
  </si>
  <si>
    <t>GLORIA MULUWA</t>
  </si>
  <si>
    <t>RTA TOYOTA WISH BCE 5242</t>
  </si>
  <si>
    <t>030/401/9/005699/2025</t>
  </si>
  <si>
    <t>05.11.2025</t>
  </si>
  <si>
    <t>QUALITECH PACKAGING LIMITED</t>
  </si>
  <si>
    <t>RTA TO TOYOTA HIACE ADF 6885</t>
  </si>
  <si>
    <t>030/401/9/005703/2025</t>
  </si>
  <si>
    <t>27.02.2026</t>
  </si>
  <si>
    <t>BLUROCK MINING SERVICES</t>
  </si>
  <si>
    <t>RTA TO TOYOTA LANDCRUISER ALP 2311</t>
  </si>
  <si>
    <t>031/401/9/005435/2025</t>
  </si>
  <si>
    <t>$23,809.52</t>
  </si>
  <si>
    <t>01.08.2024</t>
  </si>
  <si>
    <t>SINO METALS LEACH</t>
  </si>
  <si>
    <t>WINDSCREEN - TOYOTA HILUX BAL 2770</t>
  </si>
  <si>
    <t>031/401/9/005450/2025</t>
  </si>
  <si>
    <t>$35,758.00</t>
  </si>
  <si>
    <t>BLU ROCK MINING SERVICES</t>
  </si>
  <si>
    <t>RTA TO TOYOTA HILUX ALB 7216</t>
  </si>
  <si>
    <t>031/401/9/005565/2025</t>
  </si>
  <si>
    <t>US$ 11,904.76</t>
  </si>
  <si>
    <t>WINDSCREEN - TOYOTA HILUX BAR 6009</t>
  </si>
  <si>
    <t>031/401/9/005569/2025</t>
  </si>
  <si>
    <t>$42,394.76</t>
  </si>
  <si>
    <t>RTA TO TOYOTA LANDCRUISER ABV 3256</t>
  </si>
  <si>
    <t>031/401/9/005589/2025</t>
  </si>
  <si>
    <t>BERTHA MUKULUMA HAMIS</t>
  </si>
  <si>
    <t>RTA TO TOYOTA HILUX BAP 5603</t>
  </si>
  <si>
    <t>031/401/9/005590/2025</t>
  </si>
  <si>
    <t>$20,000.00</t>
  </si>
  <si>
    <t>18.03.2026</t>
  </si>
  <si>
    <t>BLU ROCK MINING SERVICES LIMIT</t>
  </si>
  <si>
    <t>WINDSCREEN DAMAGE - BBA 5961</t>
  </si>
  <si>
    <t>031/401/9/005595/2025</t>
  </si>
  <si>
    <t>RTA TO TOYOTA HILUX CAE 2570</t>
  </si>
  <si>
    <t>031/401/9/005615/2025</t>
  </si>
  <si>
    <t>$53300.38</t>
  </si>
  <si>
    <t>TIMAJA ENTERPRISES</t>
  </si>
  <si>
    <t>RTA TO FORD RANGERCAD 6280</t>
  </si>
  <si>
    <t>031/401/9/005655/2025</t>
  </si>
  <si>
    <t>$55,000.00</t>
  </si>
  <si>
    <t>25.09.225</t>
  </si>
  <si>
    <t>RTA TO TOYOTA HILUX ABM 4882</t>
  </si>
  <si>
    <t>031/4019/005436/2025</t>
  </si>
  <si>
    <t>12.11.2024</t>
  </si>
  <si>
    <t>PERCY LUBINDA</t>
  </si>
  <si>
    <t>WINDSCREEN - TOYOTA IPSUM ABK 5340</t>
  </si>
  <si>
    <t>040/401/9/005433/2025</t>
  </si>
  <si>
    <t>INVOICE RECEIVED ON 30.12.2025</t>
  </si>
  <si>
    <t xml:space="preserve">MORGAN MASHONGA </t>
  </si>
  <si>
    <t>WINDSCREEN - TOYOTA TOYOACE ACL 9365</t>
  </si>
  <si>
    <t>040/401/9/005445/2025</t>
  </si>
  <si>
    <t>MWAMBA MUKUPA</t>
  </si>
  <si>
    <t>WINDSCREEN -  TOYOTA ALLION AIB 5740</t>
  </si>
  <si>
    <t>040/401/9/005446/2025</t>
  </si>
  <si>
    <t>JULIUS MWILA</t>
  </si>
  <si>
    <t>WINDSCREEN - TOYOTA SPACIO ACR 5173</t>
  </si>
  <si>
    <t>040/401/9/005448/2025</t>
  </si>
  <si>
    <t>02.01.2026</t>
  </si>
  <si>
    <t>MIGGY NAKAMBA</t>
  </si>
  <si>
    <t>RTA TO TOYOTA VANGUARD BCF 5216</t>
  </si>
  <si>
    <t>040/401/9/005476/2025</t>
  </si>
  <si>
    <t>SAMUEL MWANSA - HONDA CROSSROAD BCE 2224</t>
  </si>
  <si>
    <t>MARGRET MWENDA</t>
  </si>
  <si>
    <t>RTA TO NISSAN ELGRAND ACP 4978</t>
  </si>
  <si>
    <t>040/401/9/005484/2025</t>
  </si>
  <si>
    <t>09.02.2026</t>
  </si>
  <si>
    <t>MULAMBWA SIKUFELE</t>
  </si>
  <si>
    <t>RTA TO AGC 1714</t>
  </si>
  <si>
    <t>040/401/9/005494/2025</t>
  </si>
  <si>
    <t>27.03.2026</t>
  </si>
  <si>
    <t>CHAWELA NYIRENDA</t>
  </si>
  <si>
    <t>RTA TO TOYOTA RUNX AIC 179</t>
  </si>
  <si>
    <t>040/401/9/005496/2025</t>
  </si>
  <si>
    <t>SARAH MINIVER TEMBO - BCG 5670</t>
  </si>
  <si>
    <t>08.01.2026</t>
  </si>
  <si>
    <t>AMOS PHIRI - CHINGOLA</t>
  </si>
  <si>
    <t>RTA TO TOYOTA BCD 8544</t>
  </si>
  <si>
    <t>040/401/9/005505/2025</t>
  </si>
  <si>
    <t>08.11.2024</t>
  </si>
  <si>
    <t>JOEL MWANSA</t>
  </si>
  <si>
    <t>WINDSCREEN - TOYOTA NOAH AGB 4117</t>
  </si>
  <si>
    <t>040/401/9/005519/2025</t>
  </si>
  <si>
    <t>ANNIE SANGA</t>
  </si>
  <si>
    <t>RTA TO TOYOTA PRADO AIB 4333</t>
  </si>
  <si>
    <t>040/401/9/005523/2025</t>
  </si>
  <si>
    <t>DALITSO TEMBO</t>
  </si>
  <si>
    <t>12.07.2024</t>
  </si>
  <si>
    <t>15.08.2024</t>
  </si>
  <si>
    <t>HONEST NTALASHA - CHINGOLA</t>
  </si>
  <si>
    <t>WINDSCREEN - NISSAN NOTE AGB 6759</t>
  </si>
  <si>
    <t>040/401/9/005533/2025</t>
  </si>
  <si>
    <t>15.07.2024</t>
  </si>
  <si>
    <t>15.7.2025</t>
  </si>
  <si>
    <t>CONVERN SIMWINGA</t>
  </si>
  <si>
    <t>RTA TO TOYOTA MARK X ADF 619</t>
  </si>
  <si>
    <t>040/401/9/005535/2025</t>
  </si>
  <si>
    <t>24.12.2024</t>
  </si>
  <si>
    <t>OUTSTANING PREMIUM</t>
  </si>
  <si>
    <t>DAVIES M. NYAMBE - CHINGOLA</t>
  </si>
  <si>
    <t>RTA TO AGB 581</t>
  </si>
  <si>
    <t>040/401/9/005544/2025</t>
  </si>
  <si>
    <t>MOSONDA MAPIPO</t>
  </si>
  <si>
    <t>TOYOTA COROLLA ACK 7278</t>
  </si>
  <si>
    <t>040/401/9/005545/2025</t>
  </si>
  <si>
    <t>07.06.2025</t>
  </si>
  <si>
    <t>YVONNE SAINA</t>
  </si>
  <si>
    <t>THEFT FROM TOYOTA ALLION AIC 6853</t>
  </si>
  <si>
    <t>040/401/9/005553/2025</t>
  </si>
  <si>
    <t>PENDING PAYMENT OF OUTSTANDING BALANCE</t>
  </si>
  <si>
    <t>THOMAS CHAMA</t>
  </si>
  <si>
    <t>RTA TO MITSUBISHI COAT ABF 1566</t>
  </si>
  <si>
    <t>040/401/9/005575/2025</t>
  </si>
  <si>
    <t>14.07.2028</t>
  </si>
  <si>
    <t>RABECCA PHIRI</t>
  </si>
  <si>
    <t>RTA TO TOYOTA VITZ AGB 6175</t>
  </si>
  <si>
    <t>040/401/9/005579/2025</t>
  </si>
  <si>
    <t>12.08.2024</t>
  </si>
  <si>
    <t>AGNES MWAMBA</t>
  </si>
  <si>
    <t>THEFT FROM HONDA HRV AGB 5684</t>
  </si>
  <si>
    <t>040/401/9/005599/2025</t>
  </si>
  <si>
    <t>07.01.2026</t>
  </si>
  <si>
    <t>GOTOLA BRITUS</t>
  </si>
  <si>
    <t>WINDSCREEN - BCD 7132</t>
  </si>
  <si>
    <t>040/401/9/005600/2025</t>
  </si>
  <si>
    <t>ANDREW CHISHIMBA</t>
  </si>
  <si>
    <t>RTA TO TOYOTA GAIA ADC 1372</t>
  </si>
  <si>
    <t>040/401/9/005609/2025</t>
  </si>
  <si>
    <t>LESA MUKUKA - CAC 7117</t>
  </si>
  <si>
    <t>24.05.2025</t>
  </si>
  <si>
    <t>PETRONELLA MAITWA</t>
  </si>
  <si>
    <t>RTA TO TOYOTA BELTA BLC 1836</t>
  </si>
  <si>
    <t>040/401/9/005618/20225</t>
  </si>
  <si>
    <t>ADRIAN KASHALA</t>
  </si>
  <si>
    <t>KAREN MULENGA</t>
  </si>
  <si>
    <t>WINDSCREEN DAMAGE - M/BENZ BCD 1614</t>
  </si>
  <si>
    <t>040/401/9/005631/2025</t>
  </si>
  <si>
    <t>JOSEPH MUTALE</t>
  </si>
  <si>
    <t>RTA INVOLVING TOYOTA SIENTA AIE 7791ZM</t>
  </si>
  <si>
    <t>040/401/9/005653/2025</t>
  </si>
  <si>
    <t>FRANCIS MUCHINGILE - TOYOTA HIACE BCH 2560</t>
  </si>
  <si>
    <t>OD DISCHARGE RECEIVEDPENDING DISCHARGE FOR TP</t>
  </si>
  <si>
    <t>RTA TO MAZDA DEMIO AGC 1714</t>
  </si>
  <si>
    <t>040/401/9/045368/2025</t>
  </si>
  <si>
    <t>STEPHEN SILUMBWE - TOYOTA HIACE ACT 4125</t>
  </si>
  <si>
    <t>MUNDIA SIKUFELE</t>
  </si>
  <si>
    <t>RTA TO NISSAN LATIO AIF 2408</t>
  </si>
  <si>
    <t>040/401/9005613/2025</t>
  </si>
  <si>
    <t>2.10.2025</t>
  </si>
  <si>
    <t>BWALYA CHIKWANDA</t>
  </si>
  <si>
    <t>RTA TO TOYOTA CROWN BCD 7142</t>
  </si>
  <si>
    <t>040/401/9/005683/2025</t>
  </si>
  <si>
    <t>03.10.2026</t>
  </si>
  <si>
    <t>JOHN KASONDE</t>
  </si>
  <si>
    <t>RTA TO MITSUBISHI CANTER AIC 7863</t>
  </si>
  <si>
    <t>040/402/9/005607/2025</t>
  </si>
  <si>
    <t>GOOD TIME STEEL</t>
  </si>
  <si>
    <t>AXIS HOUSE GROUP</t>
  </si>
  <si>
    <t>RTA TO TOYOTA HILUX CAA 5573</t>
  </si>
  <si>
    <t>041/401/9/005503/2025</t>
  </si>
  <si>
    <t>$39,000.00</t>
  </si>
  <si>
    <t>WINDSCREEN DAMAGE - TOYOTA HIACE ALL 8984</t>
  </si>
  <si>
    <t>041/401/9/005504/2025</t>
  </si>
  <si>
    <t>STEPHEN BANDA</t>
  </si>
  <si>
    <t>RTA TO FORD RANGER ALV 7759</t>
  </si>
  <si>
    <t>041/401/9/025594/2025</t>
  </si>
  <si>
    <t>$45,173.00</t>
  </si>
  <si>
    <t>01.0.2025</t>
  </si>
  <si>
    <t>ELVIS MILIMO</t>
  </si>
  <si>
    <t>RTA TO TOYOTA PRADO ACZ 1753</t>
  </si>
  <si>
    <t>050/401/9/005439/2025</t>
  </si>
  <si>
    <t>PATIENCE ZWLELA (DECEASED)</t>
  </si>
  <si>
    <t>01.04.2023</t>
  </si>
  <si>
    <t>30.06.2023</t>
  </si>
  <si>
    <t>21.05.2023</t>
  </si>
  <si>
    <t xml:space="preserve">Evergreen Sports Betting </t>
  </si>
  <si>
    <t>RTA TO TOYOTA SUCCEED BBD 6227</t>
  </si>
  <si>
    <t>050/401/9/005441/2025</t>
  </si>
  <si>
    <t>20.08.2024</t>
  </si>
  <si>
    <t>TSHIMBAI JEFF KANYINDA</t>
  </si>
  <si>
    <t>RTA TO M/BENZ ATB 7268</t>
  </si>
  <si>
    <t>050/401/9/005451/2025</t>
  </si>
  <si>
    <t>ELVIS CHILONGO - TOYOTA COROLLA ABE 4345</t>
  </si>
  <si>
    <t>JEDTECH INVESTMENTS LTD</t>
  </si>
  <si>
    <t>RTA TO TOYOTA VITZ CAD 9774</t>
  </si>
  <si>
    <t>050/401/9/005471/2025</t>
  </si>
  <si>
    <t>HITACHI - TOYOTA HILUX CAD 6204</t>
  </si>
  <si>
    <t>19.04.2024</t>
  </si>
  <si>
    <t>MAISON JIKUNDULA</t>
  </si>
  <si>
    <t>WINDSCREEN - ISUZU WIZZARD ABX 1343</t>
  </si>
  <si>
    <t>050/401/9/005474/2025</t>
  </si>
  <si>
    <t>09.09.2024</t>
  </si>
  <si>
    <t>VIOLET MUNDONGO</t>
  </si>
  <si>
    <t>WINDSCREEN TOYOTA IST AIB 5941</t>
  </si>
  <si>
    <t>050/401/9/005482/2025</t>
  </si>
  <si>
    <t>ELVIS SAVIYE</t>
  </si>
  <si>
    <t>RTA TO TOYOTA HIACE ALB 9693</t>
  </si>
  <si>
    <t>050/401/9/005540/2025</t>
  </si>
  <si>
    <t>DEOLS MUSHIBWE - BCH 1005</t>
  </si>
  <si>
    <t>10.07.2024</t>
  </si>
  <si>
    <t>DANNY CHASWALA</t>
  </si>
  <si>
    <t>RTA TO NSSAN DUALIS ATB 8777</t>
  </si>
  <si>
    <t>050/401/9/005581/2025</t>
  </si>
  <si>
    <t>EVERGREEN SPORTS BETTING</t>
  </si>
  <si>
    <t>RTA TO TOYOTA SUCCEED BBD 8628</t>
  </si>
  <si>
    <t>050/401/9/005596/2025</t>
  </si>
  <si>
    <t>MALAMA CHANDA ALM 5184</t>
  </si>
  <si>
    <t>KALUMBILA DISTRICT COUNCIL</t>
  </si>
  <si>
    <t>RTA TO TOYOTA HILUX GRZ 830</t>
  </si>
  <si>
    <t>050/401/9/005620/2025</t>
  </si>
  <si>
    <t>30.01.2026</t>
  </si>
  <si>
    <t>21.07.2025</t>
  </si>
  <si>
    <t>IGNATION CONTRACTORS</t>
  </si>
  <si>
    <t>RTA TO TOYOTA SIENTA ATB 9519</t>
  </si>
  <si>
    <t>050/401/9/005626/2025</t>
  </si>
  <si>
    <t>01.06.2026</t>
  </si>
  <si>
    <t>PATRICK NYENDWA</t>
  </si>
  <si>
    <t>RTA TO TOYOTA COROLLA ATB 153</t>
  </si>
  <si>
    <t>050/401/9/005627/2025</t>
  </si>
  <si>
    <t>20.01.2026</t>
  </si>
  <si>
    <t>JOYCE SHINDAMABA</t>
  </si>
  <si>
    <t>RTA TO  TOYOTA SIENTA ATB 9727</t>
  </si>
  <si>
    <t>050/401/9/0005661/205</t>
  </si>
  <si>
    <t>17.07.2026</t>
  </si>
  <si>
    <t>OUSTANDING PREMIUM</t>
  </si>
  <si>
    <t>HAPPY CHUNGA</t>
  </si>
  <si>
    <t>RTA TO TOYOTA MARK X BCB 5883</t>
  </si>
  <si>
    <t>050/401/9/005638/2025</t>
  </si>
  <si>
    <t>AGNESS PHIRI</t>
  </si>
  <si>
    <t>RTA TO TOYOTA MARK X BBA 7304</t>
  </si>
  <si>
    <t>050/401/9/005696/2025</t>
  </si>
  <si>
    <t>01.02.2025</t>
  </si>
  <si>
    <t>KANYETA CHIMOSHELI</t>
  </si>
  <si>
    <t>RTA TOYOTA HILUX BCH 2739</t>
  </si>
  <si>
    <t>050/401/9/005697/2025</t>
  </si>
  <si>
    <t>SHEELO KEELA</t>
  </si>
  <si>
    <t>WINDSCREEN - TOYOTA WISH AJD 3221</t>
  </si>
  <si>
    <t>060/401/9/022283/2024</t>
  </si>
  <si>
    <t>24.01.2024</t>
  </si>
  <si>
    <t>23.01.2024</t>
  </si>
  <si>
    <t>REPHAN LUO</t>
  </si>
  <si>
    <t>RTA TO FORD AJF 6102</t>
  </si>
  <si>
    <t>060/401/9/022293/2025</t>
  </si>
  <si>
    <t>18.12.2023</t>
  </si>
  <si>
    <t>PETER CHILALA - L/STONE</t>
  </si>
  <si>
    <t>RTA TO TOYOTA BLADE AJF 296</t>
  </si>
  <si>
    <t>060/401/9/022352/2025</t>
  </si>
  <si>
    <t>TUKIYA MULUYA</t>
  </si>
  <si>
    <t>WINDSCREEN - TOYOTA COROLLA AJE 9303</t>
  </si>
  <si>
    <t>060/401/9/022604/2025</t>
  </si>
  <si>
    <t>09.07.2024</t>
  </si>
  <si>
    <t xml:space="preserve">ERICK BWALE </t>
  </si>
  <si>
    <t>RTA TO NISSAN X-TRAIL BCB 3938</t>
  </si>
  <si>
    <t>060/401/9/022734/2025</t>
  </si>
  <si>
    <t>CHEELO MUYUNI- TOYOTA AURIS AJF 9937</t>
  </si>
  <si>
    <t>06.01.2024</t>
  </si>
  <si>
    <t>5.01.2025</t>
  </si>
  <si>
    <t xml:space="preserve">MONDE MUKATIMUI </t>
  </si>
  <si>
    <t>THEFT FROM TOYOTA BELTA AJD 4119</t>
  </si>
  <si>
    <t>060/401/9/022860/2025</t>
  </si>
  <si>
    <t>EMMANUEL DUNU</t>
  </si>
  <si>
    <t>RTA TO TOYOTA REGIUSACE AJF 8346</t>
  </si>
  <si>
    <t>060/401/9/022862/2025</t>
  </si>
  <si>
    <t>RTA TO TOYOTA HILUX ABP 2029</t>
  </si>
  <si>
    <t>060/401/9/022868/2025</t>
  </si>
  <si>
    <t>DENNIS SIKAULU</t>
  </si>
  <si>
    <t>RTA TO TOYOTA CRESTA AJC 884</t>
  </si>
  <si>
    <t>060/401/9/022928/2025</t>
  </si>
  <si>
    <t>GEOFREY SHAKWELELE</t>
  </si>
  <si>
    <t>WINDSCREEN DAMAGE - TOYOTA HILUX ABP 9158</t>
  </si>
  <si>
    <t>060/401/9/023035/2025</t>
  </si>
  <si>
    <t>HARRISON KABIZYI</t>
  </si>
  <si>
    <t>RTA INVOLVING ISUZU KB AJF 7150</t>
  </si>
  <si>
    <t>060/401/9/023102/2025</t>
  </si>
  <si>
    <t>PEDESTRIAN  - MUTALE JOHN</t>
  </si>
  <si>
    <t>FELIX NKOMESHA</t>
  </si>
  <si>
    <t>RTA TO HINO DUTRO AID 858</t>
  </si>
  <si>
    <t>060/401/9/023191/2025</t>
  </si>
  <si>
    <t>THERESA CHILUBA</t>
  </si>
  <si>
    <t>RTA NISSAN FUGA AIB 7648</t>
  </si>
  <si>
    <t>060/401/9/023253/2025</t>
  </si>
  <si>
    <t>09.11.2025</t>
  </si>
  <si>
    <t>BONIFACE MWEEMBA</t>
  </si>
  <si>
    <t>RTA TO TOYOTA LANDCRUISER BAF 5615</t>
  </si>
  <si>
    <t>060/401/9/023259/2025</t>
  </si>
  <si>
    <t>29.06.2026</t>
  </si>
  <si>
    <t>KETTY CHIPANZHYA</t>
  </si>
  <si>
    <t>RTA TO TOYOTA COROLLA AJD 8794</t>
  </si>
  <si>
    <t>070/401/9/000025/2025/11</t>
  </si>
  <si>
    <t>07.07.2026</t>
  </si>
  <si>
    <t>EDGAR MWANZA</t>
  </si>
  <si>
    <t>WINDSCREEN - HONDA FIT AQB 2871</t>
  </si>
  <si>
    <t>070/401/9/005437/2025</t>
  </si>
  <si>
    <t>14.06.2024</t>
  </si>
  <si>
    <t>FEWDAYS MWILA</t>
  </si>
  <si>
    <t>RTA TO BMW ACV 9979</t>
  </si>
  <si>
    <t>070/401/9/005457/2025</t>
  </si>
  <si>
    <t>KELVIN SINDAZI</t>
  </si>
  <si>
    <t>RTA TO TOYOTA HIACE AID 1489</t>
  </si>
  <si>
    <t>070/401/9/005475/2025</t>
  </si>
  <si>
    <t>12.04.2024</t>
  </si>
  <si>
    <t>PAIL MUKALULA - KASAMA</t>
  </si>
  <si>
    <t>WINDSCREEN - HONDA FIT BBD 2986</t>
  </si>
  <si>
    <t>070/401/9/005490/2025</t>
  </si>
  <si>
    <t>08.02.2024</t>
  </si>
  <si>
    <t xml:space="preserve">SHUNLIN GAO </t>
  </si>
  <si>
    <t>RTA TO TOYOTA CORONA ABJ 798</t>
  </si>
  <si>
    <t>070/401/9/005512/2025</t>
  </si>
  <si>
    <t>RESH RECOVERY (24 7) M/BENZ BCD 7525</t>
  </si>
  <si>
    <t>03.04.2026</t>
  </si>
  <si>
    <t>LUWINGU TOWN COUNCIL</t>
  </si>
  <si>
    <t>WINDSCREEN - TOYOTA HILUX BAF 7419</t>
  </si>
  <si>
    <t>070/401/9/005527/2025</t>
  </si>
  <si>
    <t>FLORENCE AGNES MASANZI</t>
  </si>
  <si>
    <t>TOYOTA PRADO BBA 819</t>
  </si>
  <si>
    <t>070/401/9/005530/2025</t>
  </si>
  <si>
    <t>FAITH BANDA</t>
  </si>
  <si>
    <t>23.05.2025</t>
  </si>
  <si>
    <t>GEOGINA MUTONO</t>
  </si>
  <si>
    <t>RTA TO TOYOTA VANGUARD APB 4975</t>
  </si>
  <si>
    <t>070/401/9/005585/2025</t>
  </si>
  <si>
    <t>CLAUD CHIYOWELA</t>
  </si>
  <si>
    <t>RTA TO TOYOTA STARLET ACX 9825</t>
  </si>
  <si>
    <t>070/401/9/005622/2025</t>
  </si>
  <si>
    <t>SAMSON SICHINSAMBWE</t>
  </si>
  <si>
    <t>RTA TO NISSAN JUKE APB 3989</t>
  </si>
  <si>
    <t>070/401/9/005636/2025</t>
  </si>
  <si>
    <t>17.08.2025</t>
  </si>
  <si>
    <t xml:space="preserve">FRANCIS CHANDA </t>
  </si>
  <si>
    <t>WINDSCREEN- FORD ESCAPE AHB 4001</t>
  </si>
  <si>
    <t>070/401/9/005637/2025</t>
  </si>
  <si>
    <t>29.05.2026</t>
  </si>
  <si>
    <t>JACK CHIYENGO</t>
  </si>
  <si>
    <t>RTA TO TOYOTA MARK X AIF 553</t>
  </si>
  <si>
    <t>070/401/9/005663/2025</t>
  </si>
  <si>
    <t>EVARISTO KAPEMBWA</t>
  </si>
  <si>
    <t>RTA TO TOYOTA HILUZ APB 4244</t>
  </si>
  <si>
    <t>070/401/9/005670/2025</t>
  </si>
  <si>
    <t>05.02.2026</t>
  </si>
  <si>
    <t>DISHARGE RECEIVED ON 04.12.2025</t>
  </si>
  <si>
    <t>DEPARTMENT OF WATER RESOURCES</t>
  </si>
  <si>
    <t>RTA TO TOYOTA LANDCRUISER ALV 1888</t>
  </si>
  <si>
    <t>070/401/9/005693/2025</t>
  </si>
  <si>
    <t>DIOCESE OF MPIKA - GRZ 842CB</t>
  </si>
  <si>
    <t>PETER KAKOMA</t>
  </si>
  <si>
    <t>RTA TO FORD RANGER BAA 9993</t>
  </si>
  <si>
    <t>070/4019/005686/2025</t>
  </si>
  <si>
    <t>OVERTAKEN BY SECOND CLAIM</t>
  </si>
  <si>
    <t>23.12.2025</t>
  </si>
  <si>
    <t>VENASIO BANDA</t>
  </si>
  <si>
    <t>RTA TO MERCEDES BENZ APB 4288</t>
  </si>
  <si>
    <t>070/401/9/005634/2025</t>
  </si>
  <si>
    <t>EDDAH MUWOWO</t>
  </si>
  <si>
    <t>LONGJIAN ROAD AND BRIDGE LIMITED</t>
  </si>
  <si>
    <t>RTA INVOLVING TOYOTA HILUX GRZ 170EA</t>
  </si>
  <si>
    <t>080/401/1/075532/2025</t>
  </si>
  <si>
    <t>THERESA CHILESHE</t>
  </si>
  <si>
    <t>RTA TO MERCEDES BENZ BBC 6648</t>
  </si>
  <si>
    <t>080/401/9/000030/2025</t>
  </si>
  <si>
    <t>02.09.2026</t>
  </si>
  <si>
    <t xml:space="preserve">AARON BOTHA </t>
  </si>
  <si>
    <t>RTA TO ISUZU DMAX BAV 944</t>
  </si>
  <si>
    <t>080/401/9/020441/2025</t>
  </si>
  <si>
    <t>VISHAL SERESHBAI NAYEE</t>
  </si>
  <si>
    <t>RTA TO TOYOTA VELLFIRE CAE 4408</t>
  </si>
  <si>
    <t>080/401/9/022290/2024</t>
  </si>
  <si>
    <t>28.06.2024</t>
  </si>
  <si>
    <t>LONGJIAN  ROAD AND BRIDGE</t>
  </si>
  <si>
    <t>RTA TO TOYOTA HILUX  BLB 9818</t>
  </si>
  <si>
    <t>080/401/9/022298/2025</t>
  </si>
  <si>
    <t>DEOBORAH MUSWILWA</t>
  </si>
  <si>
    <t>RTA TO TOYOTA RACTIS BBD 1724</t>
  </si>
  <si>
    <t>080/401/9/022325/2023</t>
  </si>
  <si>
    <t xml:space="preserve">PAUL HATAKWITI - </t>
  </si>
  <si>
    <t>MARGARET N SAKALA</t>
  </si>
  <si>
    <t>RTA TO TOYOTA FORTUNER BAC 4192</t>
  </si>
  <si>
    <t>080/401/9/022374/2025</t>
  </si>
  <si>
    <t>03.0.2025</t>
  </si>
  <si>
    <t>INTERNATIONAL CHEMICALS</t>
  </si>
  <si>
    <t>RTA TO TOYOTA PRADO ALJ 6206</t>
  </si>
  <si>
    <t>080/401/9/022417/2025</t>
  </si>
  <si>
    <t>DAVID MWALE - LEDER AMAZING - BLC 8929</t>
  </si>
  <si>
    <t>HONEST MOONO</t>
  </si>
  <si>
    <t>19.08.2024</t>
  </si>
  <si>
    <t>07.12.2024</t>
  </si>
  <si>
    <t>ZAM FLOUR LIMITED</t>
  </si>
  <si>
    <t>RTA TO TOYOTA HIACE CAE 5581</t>
  </si>
  <si>
    <t>080/401/9/022438/2025</t>
  </si>
  <si>
    <t>MONDE MWANAMBUYU - TOYOTA VITZ AL 1517</t>
  </si>
  <si>
    <t xml:space="preserve">CHINT ELECTRIC </t>
  </si>
  <si>
    <t>RTA TO TOYOTA HILUX ALT 688</t>
  </si>
  <si>
    <t>080/401/9/022478/2025</t>
  </si>
  <si>
    <t>MUKOBE  L. CHISUNKA</t>
  </si>
  <si>
    <t>RTA TO NISSAN DUALIS BAK 6424</t>
  </si>
  <si>
    <t>080/401/9/022485/2025</t>
  </si>
  <si>
    <t>BERNARD MGWADI</t>
  </si>
  <si>
    <t>080/401/9/022580/2025</t>
  </si>
  <si>
    <t>ALICE KANGWA</t>
  </si>
  <si>
    <t>RTA TO TOYOTA VANGUARD BAV 1781</t>
  </si>
  <si>
    <t>050/401/9/005671/2025</t>
  </si>
  <si>
    <t>CHARLES KAKOMA</t>
  </si>
  <si>
    <t>ZELIYA SAKALA</t>
  </si>
  <si>
    <t>RTA TO TOYOTA MARK X BAV 5071</t>
  </si>
  <si>
    <t>080/401/9/022620/2025</t>
  </si>
  <si>
    <t>CLARENCE MUSAFILI</t>
  </si>
  <si>
    <t>TOYOTA HARRIER BAL 184</t>
  </si>
  <si>
    <t>080/401/9/022658/2025</t>
  </si>
  <si>
    <t>FKENGE GENERAL DEALERS</t>
  </si>
  <si>
    <t>RTA TO TOYOTA HILUX BAT 9489</t>
  </si>
  <si>
    <t>080/401/9/022682/2025</t>
  </si>
  <si>
    <t>PHAIDES JOY MWANZA - TOYOTA VITZ BLC 3811</t>
  </si>
  <si>
    <t>31.10.2024</t>
  </si>
  <si>
    <t>FRIDAH NAMUYA</t>
  </si>
  <si>
    <t>RTA TO HONDA FIT BLD 721</t>
  </si>
  <si>
    <t>080/401/9/022722/2025</t>
  </si>
  <si>
    <t>06.04.2026</t>
  </si>
  <si>
    <t>TAWANDA GWENURE</t>
  </si>
  <si>
    <t>RTA TO MITSUBISHI PAJERO BAG 6520</t>
  </si>
  <si>
    <t>080/401/9/022731/2025</t>
  </si>
  <si>
    <t>21.06.2024</t>
  </si>
  <si>
    <t>MULENGA BWALYA</t>
  </si>
  <si>
    <t>RTA TO TOYOTA MARK X BAV 560</t>
  </si>
  <si>
    <t>080/401/9/022807/2025</t>
  </si>
  <si>
    <t>CHAWE NAKAZWE</t>
  </si>
  <si>
    <t>RTA TO MAZDA DEMIO CAF 4002</t>
  </si>
  <si>
    <t>080/401/9/022830/2025</t>
  </si>
  <si>
    <t>VAARAHI CONTRUCTION LTD</t>
  </si>
  <si>
    <t>RTA TO TOYOTA MARK X CAF 5996</t>
  </si>
  <si>
    <t>080/401/9/022855/2025</t>
  </si>
  <si>
    <t>15.12.2025</t>
  </si>
  <si>
    <t>CHINGASES COMPANY LIMITED</t>
  </si>
  <si>
    <t>RTA TO  TOYOTA HILUX BAB 5300</t>
  </si>
  <si>
    <t>080/401/9/022857/2025</t>
  </si>
  <si>
    <t>SCHINDWE LIFTS ZAMBIA</t>
  </si>
  <si>
    <t>RTA TO TOYOTA VANGUARD BLC 22</t>
  </si>
  <si>
    <t>080/401/9/022880/2025</t>
  </si>
  <si>
    <t>13.05.2026</t>
  </si>
  <si>
    <t>DEBORAH MUSWILWA</t>
  </si>
  <si>
    <t>RTA TO TOYOTA RACTS BBD 1724</t>
  </si>
  <si>
    <t>080/401/9/022890/2025</t>
  </si>
  <si>
    <t>29.05.2024</t>
  </si>
  <si>
    <t>MWENZI KATOLO</t>
  </si>
  <si>
    <t>RTA TO TOYOTA FORTUNER BBC 9398</t>
  </si>
  <si>
    <t>080/401/9/022946/2025</t>
  </si>
  <si>
    <t>080/401/9/023030/2025</t>
  </si>
  <si>
    <t>TRUDY LOLOZHI BLC 7946</t>
  </si>
  <si>
    <t>CHISENGA FOLOKO</t>
  </si>
  <si>
    <t>RTA TO HONDA CRV ASB 1263</t>
  </si>
  <si>
    <t>080/401/9/023045/2025</t>
  </si>
  <si>
    <t>MAX NYIRONGO CAG 585</t>
  </si>
  <si>
    <t>31.08.2025</t>
  </si>
  <si>
    <t>JAMES K. MWANSABAMBA</t>
  </si>
  <si>
    <t>RTA TO TOYOTA SPACIO  BAE 7744</t>
  </si>
  <si>
    <t>080/401/9/023050/2025</t>
  </si>
  <si>
    <t>13.04.2025</t>
  </si>
  <si>
    <t>RTA TO TOYOTA HILUX GRZ 172EA</t>
  </si>
  <si>
    <t>080/401/9/023085/2025</t>
  </si>
  <si>
    <t>ELIZABETH CHANSHI</t>
  </si>
  <si>
    <t>RTA TO HONDA FIT AIF 9469</t>
  </si>
  <si>
    <t>080/401/9/023138/2025</t>
  </si>
  <si>
    <t>DISCHAGE SIGNED PENDING PAYMENT</t>
  </si>
  <si>
    <t>MOUNIR AL CHAABI</t>
  </si>
  <si>
    <t>RTA TOYOTA ALG 7115</t>
  </si>
  <si>
    <t>080/401/9/023160/2025</t>
  </si>
  <si>
    <t>TOYOTA NOAH ALG 7115</t>
  </si>
  <si>
    <t>29.12.2026</t>
  </si>
  <si>
    <t>NANGWAKA KALUBA</t>
  </si>
  <si>
    <t>RTA TO TOYOTA AXIO ADD 7641</t>
  </si>
  <si>
    <t>080/401/9/023188/2025</t>
  </si>
  <si>
    <t>MERODY NAMANWE AND MARTHA CHILUMBA</t>
  </si>
  <si>
    <t xml:space="preserve">MATILDA LIKUWA </t>
  </si>
  <si>
    <t>TOYOTA PRADO ALK 9754</t>
  </si>
  <si>
    <t>080/401/9/023203/2025</t>
  </si>
  <si>
    <t>03.04.2250</t>
  </si>
  <si>
    <t>LINDA SAILI</t>
  </si>
  <si>
    <t>RTA TO TOYOTA HILUX BAR 713</t>
  </si>
  <si>
    <t>080/401/9/023206/2025</t>
  </si>
  <si>
    <t>SANELISO ZULU - TOYOTA SPACIO BAD 509</t>
  </si>
  <si>
    <t>23.06.2026</t>
  </si>
  <si>
    <t>080/401/9/023219/2025</t>
  </si>
  <si>
    <t>13.08.202oe5</t>
  </si>
  <si>
    <t>12.11.2025</t>
  </si>
  <si>
    <t xml:space="preserve">JM NGANDU </t>
  </si>
  <si>
    <t>RTA TO TOYOTA IST ALF 3241</t>
  </si>
  <si>
    <t>080/401/9/023230/2025</t>
  </si>
  <si>
    <t>MYTECH SYSTEMS SOLUTIONS - TOYOTA PROBOX CAJ 4467</t>
  </si>
  <si>
    <t>DICKSON KAFULA</t>
  </si>
  <si>
    <t>RTA TO NISSAN MURANO AIF 7052</t>
  </si>
  <si>
    <t>080/401/9/023238/2025</t>
  </si>
  <si>
    <t>PENDING ORINAL WHITE BOOK AND KEYS</t>
  </si>
  <si>
    <t>LANGO SIMBEYE</t>
  </si>
  <si>
    <t>RTA INVOLVING M/BENZ BLB 5473</t>
  </si>
  <si>
    <t>080/401/9/023272/2025</t>
  </si>
  <si>
    <t>MOHAMMED IDD ISMAIL - MITSUBISHI CANTER BAZ 1128</t>
  </si>
  <si>
    <t>DISCHARGES RECEIVED ON 26.12.2025</t>
  </si>
  <si>
    <t xml:space="preserve">INNOVATION AFRICA </t>
  </si>
  <si>
    <t>RTA TO TOYOTA FORTUNER BAR 5749</t>
  </si>
  <si>
    <t>080/401/9/028055/2025</t>
  </si>
  <si>
    <t>GRACE NYONI</t>
  </si>
  <si>
    <t>RTA TO TOYOTA VITZ AEB 4849</t>
  </si>
  <si>
    <t>081/401/9/022989/2025</t>
  </si>
  <si>
    <t>$5,000.00</t>
  </si>
  <si>
    <t>01.05.2026</t>
  </si>
  <si>
    <t>OZON W. GILLET</t>
  </si>
  <si>
    <t>RTA TO TOYOTA FORTUNER CAF 1923</t>
  </si>
  <si>
    <t>081/401/9/023161/2025</t>
  </si>
  <si>
    <t>MICHAEL BANDA</t>
  </si>
  <si>
    <t>RTA TO TOYOTA VITZ BBD 1913</t>
  </si>
  <si>
    <t>100/401/9/022100/2024</t>
  </si>
  <si>
    <t>29.12.2023</t>
  </si>
  <si>
    <t>CHINONGE NDUVA - CHIPATA</t>
  </si>
  <si>
    <t>100/401/9/022802/2025</t>
  </si>
  <si>
    <t>NYIMBA TOWN COUNCIL</t>
  </si>
  <si>
    <t>RTA TO TOYOTA HILUX BAJ 2133</t>
  </si>
  <si>
    <t>100/401/9/022803/2025</t>
  </si>
  <si>
    <t>MILAMBO ALLAN SICHUUNGA</t>
  </si>
  <si>
    <t>RTA TO TOYOTA IPSUM ALV 8872</t>
  </si>
  <si>
    <t>100/401/9/022938/2025</t>
  </si>
  <si>
    <t>REV JAMES LUNGU</t>
  </si>
  <si>
    <t>RTA TO TOYOTA NOAH ARC 3985</t>
  </si>
  <si>
    <t>100/401/9/023012/2025</t>
  </si>
  <si>
    <t>PAUL SIWALE</t>
  </si>
  <si>
    <t>WINDSCREEN - TOYOTA SIENTA ARC 6775</t>
  </si>
  <si>
    <t>100/401/9/023125/2025</t>
  </si>
  <si>
    <t>09.11.2024</t>
  </si>
  <si>
    <t>RTA TO ISUZU KB 250 ABM 3131</t>
  </si>
  <si>
    <t>100/401/9/023154/2025</t>
  </si>
  <si>
    <t>02.06.2026</t>
  </si>
  <si>
    <t xml:space="preserve">LAMECK OBED MWANSA </t>
  </si>
  <si>
    <t>WINDSCREEN- TOYOTA SPRINTER ACR 9740</t>
  </si>
  <si>
    <t>100/401/9/023157/2025</t>
  </si>
  <si>
    <t>PENDING SIGNED DISHARGE</t>
  </si>
  <si>
    <t>ROGAN KANDUMBA</t>
  </si>
  <si>
    <t>RTA TO TOYOTA ALLEX ACZ 904</t>
  </si>
  <si>
    <t>020/401/9/000039/2025</t>
  </si>
  <si>
    <t>06.12.2025</t>
  </si>
  <si>
    <t>BRIGHT CHAABA</t>
  </si>
  <si>
    <t>RTA TO TOYOTA ALLEX ALK 1316</t>
  </si>
  <si>
    <t>100/401/9/023215/2025</t>
  </si>
  <si>
    <t>13.11.2025</t>
  </si>
  <si>
    <t>DMI ST EUGENE UNIVERSITY</t>
  </si>
  <si>
    <t>RTA INVOLVING TOYOTA FIELDER ARB 5616</t>
  </si>
  <si>
    <t>100/401/9/1/02318/2025</t>
  </si>
  <si>
    <t>MARTHA CHENDELA</t>
  </si>
  <si>
    <t>RTA TO TOYOTA ALLION ADF 291</t>
  </si>
  <si>
    <t>130/401/9/022233/2024</t>
  </si>
  <si>
    <t>25.11.2024</t>
  </si>
  <si>
    <t>PATRICK SIKANYIKA</t>
  </si>
  <si>
    <t>RTA TO TOYOTA HIACE CAE 947</t>
  </si>
  <si>
    <t>130/401/9/022441/2025</t>
  </si>
  <si>
    <t>13.08.2024</t>
  </si>
  <si>
    <t>MARTIN MUSONDA MWEWA</t>
  </si>
  <si>
    <t>RTA TO AUDI Q4 UNREG</t>
  </si>
  <si>
    <t xml:space="preserve"> 180/401/9/021683/2024</t>
  </si>
  <si>
    <t>18.04.2024</t>
  </si>
  <si>
    <t>17.05.2025</t>
  </si>
  <si>
    <t>ELICO NALITUBA</t>
  </si>
  <si>
    <t>RTA TO NISSAN HARDBODY ALV 8210</t>
  </si>
  <si>
    <t>130/401/9/022600/2025</t>
  </si>
  <si>
    <t>CHARLES MTONGA - SCANIA AHB 4621</t>
  </si>
  <si>
    <t>22.05.2024</t>
  </si>
  <si>
    <t>MUNAKO INVESTMENTS</t>
  </si>
  <si>
    <t>RTA TO ISUZU D-MAX AHC 1579</t>
  </si>
  <si>
    <t>130/401/9/022944/2025</t>
  </si>
  <si>
    <t>01.05.2025</t>
  </si>
  <si>
    <t>SAMUEL KAMBANGU</t>
  </si>
  <si>
    <t>RTA TO TOYOTA ALLION CAF 3298</t>
  </si>
  <si>
    <t>130/401/9/023070/2025</t>
  </si>
  <si>
    <t>24.04.2026</t>
  </si>
  <si>
    <t>FLORA CHINGANGU</t>
  </si>
  <si>
    <t>MAZDA DEMIO AHC 681</t>
  </si>
  <si>
    <t>130/401/9/023176/2025</t>
  </si>
  <si>
    <t>20.07.2026</t>
  </si>
  <si>
    <t>PRECIOUS  MULENGA</t>
  </si>
  <si>
    <t>RTA TO TOYOTA RACTIS CAC 1071</t>
  </si>
  <si>
    <t>130/401/9/023213/2025</t>
  </si>
  <si>
    <t>17.11.2024</t>
  </si>
  <si>
    <t>CHIMFWEMBE CHANDA</t>
  </si>
  <si>
    <t>RTA TO NISSAN DUALIS BAB 6835</t>
  </si>
  <si>
    <t>130/401/9/023303/2025</t>
  </si>
  <si>
    <t>12.10.2025</t>
  </si>
  <si>
    <t>CHIPO CHISENGA</t>
  </si>
  <si>
    <t>RTA TO TOYOTA IST BCA 3383</t>
  </si>
  <si>
    <t>180/401/9/022465/2025</t>
  </si>
  <si>
    <t>02.01.2024</t>
  </si>
  <si>
    <t>ERICK MUZYAMBA</t>
  </si>
  <si>
    <t>RTA TO MAZDA TITAN AD 6235</t>
  </si>
  <si>
    <t>170/401/9/022318/2024</t>
  </si>
  <si>
    <t>03.01.2024</t>
  </si>
  <si>
    <t>JOSEPH CHILUFYA</t>
  </si>
  <si>
    <t>RTA TO TOYOTA HARRIER CAA 6286</t>
  </si>
  <si>
    <t>170/401/9/022365/2025</t>
  </si>
  <si>
    <t>ZAMBIA NATIONAL SERVICE - TOYOTA MARK II ZNS 832B</t>
  </si>
  <si>
    <t>17.06.2024</t>
  </si>
  <si>
    <t>JEAN SINYOKOSA</t>
  </si>
  <si>
    <t>RTA INVOLVING TOYOTA BELTA BLA 2083</t>
  </si>
  <si>
    <t>170/401/9/023271/2025</t>
  </si>
  <si>
    <t>PENDING POLICE REPORT</t>
  </si>
  <si>
    <t>NATASHA MUSHILI</t>
  </si>
  <si>
    <t>RTA TO TOYOTA IST ASB 2298</t>
  </si>
  <si>
    <t>180/401/9/022338/2025</t>
  </si>
  <si>
    <t>FELIX NGOSA</t>
  </si>
  <si>
    <t>RTA TO MITSUBISHI CANTER BLB 181</t>
  </si>
  <si>
    <t>180/401/9/022440/2025</t>
  </si>
  <si>
    <t>MARSHAL MIZANDA - TOYOTA MARK II BAA 2528</t>
  </si>
  <si>
    <t>BRIDGET MULOFWA</t>
  </si>
  <si>
    <t>RTA TO TOYOTA GAIA ACB 8422</t>
  </si>
  <si>
    <t>180/401/9/022835/2025</t>
  </si>
  <si>
    <t>MARGARET PHIRI</t>
  </si>
  <si>
    <t>RTA TO TOYOTA RUSH BAP 2121</t>
  </si>
  <si>
    <t>180/401/9/022997/2025</t>
  </si>
  <si>
    <t>HENDRIX KABULAYA</t>
  </si>
  <si>
    <t>RTA TO TOYOTA AXIO ASB 3757</t>
  </si>
  <si>
    <t>180/401/9/023029/2025</t>
  </si>
  <si>
    <t>27.08.2024</t>
  </si>
  <si>
    <t>DISSCHARGE SIGNED - PENDING PAYMENT</t>
  </si>
  <si>
    <t>MWINI GENERAL SUPPLIERS</t>
  </si>
  <si>
    <t>RTA TO BMW MINI COOPER ASB 4515</t>
  </si>
  <si>
    <t>180/401/9/023038/2025</t>
  </si>
  <si>
    <t>15.04.205</t>
  </si>
  <si>
    <t>JIMBARA MERCHANTS</t>
  </si>
  <si>
    <t>RTA TO VW AMAROK BAC 9337</t>
  </si>
  <si>
    <t>180/401/9/023224/2025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</si>
</sst>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;@"/>
    <numFmt numFmtId="166" formatCode="[$-3009]dd\-mmm\-yy;@"/>
    <numFmt numFmtId="167" formatCode="[$-409]d\-mmm\-yyyy;@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91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right" vertical="top" wrapText="1"/>
    </xf>
    <xf numFmtId="14" fontId="3" fillId="2" borderId="2" xfId="0" applyNumberFormat="1" applyFont="1" applyFill="1" applyBorder="1" applyAlignment="1">
      <alignment horizontal="center" vertical="top" wrapText="1"/>
    </xf>
    <xf numFmtId="14" fontId="3" fillId="2" borderId="3" xfId="0" applyNumberFormat="1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right" vertical="center" wrapText="1"/>
    </xf>
    <xf numFmtId="14" fontId="3" fillId="3" borderId="1" xfId="0" applyNumberFormat="1" applyFont="1" applyFill="1" applyBorder="1" applyAlignment="1">
      <alignment horizontal="center" vertical="top" wrapText="1"/>
    </xf>
    <xf numFmtId="165" fontId="3" fillId="3" borderId="1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166" fontId="3" fillId="3" borderId="1" xfId="0" applyNumberFormat="1" applyFont="1" applyFill="1" applyBorder="1" applyAlignment="1">
      <alignment horizontal="center" vertical="top" wrapText="1"/>
    </xf>
    <xf numFmtId="0" fontId="0" fillId="2" borderId="0" xfId="0" applyFill="1"/>
    <xf numFmtId="0" fontId="2" fillId="2" borderId="0" xfId="0" applyFont="1" applyFill="1" applyAlignment="1">
      <alignment horizontal="left"/>
    </xf>
    <xf numFmtId="167" fontId="3" fillId="3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4" fontId="6" fillId="2" borderId="1" xfId="0" applyNumberFormat="1" applyFont="1" applyFill="1" applyBorder="1" applyAlignment="1">
      <alignment horizontal="right"/>
    </xf>
    <xf numFmtId="14" fontId="6" fillId="2" borderId="1" xfId="0" applyNumberFormat="1" applyFont="1" applyFill="1" applyBorder="1"/>
    <xf numFmtId="165" fontId="6" fillId="2" borderId="1" xfId="0" applyNumberFormat="1" applyFont="1" applyFill="1" applyBorder="1" applyAlignment="1">
      <alignment horizontal="right" vertical="center"/>
    </xf>
    <xf numFmtId="14" fontId="6" fillId="3" borderId="1" xfId="0" applyNumberFormat="1" applyFont="1" applyFill="1" applyBorder="1"/>
    <xf numFmtId="167" fontId="6" fillId="3" borderId="1" xfId="0" applyNumberFormat="1" applyFont="1" applyFill="1" applyBorder="1"/>
    <xf numFmtId="1" fontId="6" fillId="3" borderId="1" xfId="0" applyNumberFormat="1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right" vertical="top" wrapText="1"/>
    </xf>
    <xf numFmtId="4" fontId="6" fillId="2" borderId="1" xfId="1" applyNumberFormat="1" applyFont="1" applyFill="1" applyBorder="1" applyAlignment="1">
      <alignment horizontal="right" vertical="top" wrapText="1"/>
    </xf>
    <xf numFmtId="14" fontId="6" fillId="2" borderId="1" xfId="0" applyNumberFormat="1" applyFont="1" applyFill="1" applyBorder="1" applyAlignment="1">
      <alignment horizontal="right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wrapText="1"/>
    </xf>
    <xf numFmtId="165" fontId="6" fillId="2" borderId="1" xfId="0" applyNumberFormat="1" applyFont="1" applyFill="1" applyBorder="1" applyAlignment="1">
      <alignment horizontal="right" vertical="center" wrapText="1"/>
    </xf>
    <xf numFmtId="14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right" vertical="center"/>
    </xf>
    <xf numFmtId="4" fontId="5" fillId="2" borderId="1" xfId="0" applyNumberFormat="1" applyFont="1" applyFill="1" applyBorder="1" applyAlignment="1">
      <alignment horizontal="right" vertical="center"/>
    </xf>
    <xf numFmtId="4" fontId="5" fillId="2" borderId="1" xfId="1" applyNumberFormat="1" applyFont="1" applyFill="1" applyBorder="1" applyAlignment="1">
      <alignment horizontal="right" wrapText="1"/>
    </xf>
    <xf numFmtId="14" fontId="5" fillId="2" borderId="1" xfId="0" applyNumberFormat="1" applyFont="1" applyFill="1" applyBorder="1" applyAlignment="1">
      <alignment horizontal="right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right"/>
    </xf>
    <xf numFmtId="14" fontId="5" fillId="2" borderId="1" xfId="0" applyNumberFormat="1" applyFont="1" applyFill="1" applyBorder="1" applyAlignment="1">
      <alignment horizontal="right"/>
    </xf>
    <xf numFmtId="14" fontId="5" fillId="2" borderId="1" xfId="0" applyNumberFormat="1" applyFont="1" applyFill="1" applyBorder="1"/>
    <xf numFmtId="0" fontId="6" fillId="2" borderId="1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wrapText="1"/>
    </xf>
    <xf numFmtId="14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 applyAlignment="1">
      <alignment horizontal="right"/>
    </xf>
    <xf numFmtId="14" fontId="7" fillId="2" borderId="1" xfId="0" applyNumberFormat="1" applyFont="1" applyFill="1" applyBorder="1" applyAlignment="1">
      <alignment horizontal="right"/>
    </xf>
    <xf numFmtId="14" fontId="7" fillId="2" borderId="1" xfId="0" applyNumberFormat="1" applyFont="1" applyFill="1" applyBorder="1"/>
    <xf numFmtId="0" fontId="7" fillId="2" borderId="1" xfId="0" applyFont="1" applyFill="1" applyBorder="1"/>
    <xf numFmtId="165" fontId="7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/>
    </xf>
    <xf numFmtId="0" fontId="5" fillId="2" borderId="1" xfId="2" applyFill="1" applyBorder="1" applyAlignment="1">
      <alignment horizontal="left"/>
    </xf>
    <xf numFmtId="0" fontId="6" fillId="2" borderId="1" xfId="2" applyFont="1" applyFill="1" applyBorder="1" applyAlignment="1">
      <alignment horizontal="right"/>
    </xf>
    <xf numFmtId="4" fontId="6" fillId="2" borderId="1" xfId="2" applyNumberFormat="1" applyFont="1" applyFill="1" applyBorder="1" applyAlignment="1">
      <alignment horizontal="right"/>
    </xf>
    <xf numFmtId="14" fontId="6" fillId="2" borderId="1" xfId="2" applyNumberFormat="1" applyFont="1" applyFill="1" applyBorder="1" applyAlignment="1">
      <alignment horizontal="right"/>
    </xf>
    <xf numFmtId="14" fontId="6" fillId="2" borderId="1" xfId="2" applyNumberFormat="1" applyFont="1" applyFill="1" applyBorder="1"/>
    <xf numFmtId="0" fontId="5" fillId="2" borderId="1" xfId="2" applyFill="1" applyBorder="1"/>
    <xf numFmtId="165" fontId="6" fillId="2" borderId="1" xfId="2" applyNumberFormat="1" applyFont="1" applyFill="1" applyBorder="1" applyAlignment="1">
      <alignment horizontal="right" vertical="center"/>
    </xf>
    <xf numFmtId="0" fontId="6" fillId="2" borderId="1" xfId="2" applyFont="1" applyFill="1" applyBorder="1"/>
    <xf numFmtId="4" fontId="6" fillId="2" borderId="1" xfId="2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4" fontId="4" fillId="2" borderId="1" xfId="0" applyNumberFormat="1" applyFont="1" applyFill="1" applyBorder="1" applyAlignment="1">
      <alignment horizontal="right"/>
    </xf>
    <xf numFmtId="14" fontId="4" fillId="2" borderId="1" xfId="0" applyNumberFormat="1" applyFont="1" applyFill="1" applyBorder="1"/>
    <xf numFmtId="165" fontId="4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/>
    <xf numFmtId="0" fontId="6" fillId="2" borderId="1" xfId="0" applyFont="1" applyFill="1" applyBorder="1" applyAlignment="1">
      <alignment horizontal="right" vertic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horizontal="right"/>
    </xf>
    <xf numFmtId="4" fontId="6" fillId="4" borderId="1" xfId="0" applyNumberFormat="1" applyFont="1" applyFill="1" applyBorder="1" applyAlignment="1">
      <alignment horizontal="right"/>
    </xf>
    <xf numFmtId="14" fontId="6" fillId="4" borderId="1" xfId="0" applyNumberFormat="1" applyFont="1" applyFill="1" applyBorder="1" applyAlignment="1">
      <alignment horizontal="right"/>
    </xf>
    <xf numFmtId="14" fontId="6" fillId="4" borderId="1" xfId="0" applyNumberFormat="1" applyFont="1" applyFill="1" applyBorder="1"/>
    <xf numFmtId="165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4" borderId="1" xfId="2" applyFill="1" applyBorder="1" applyAlignment="1">
      <alignment horizontal="left"/>
    </xf>
    <xf numFmtId="0" fontId="6" fillId="4" borderId="1" xfId="2" applyFont="1" applyFill="1" applyBorder="1" applyAlignment="1">
      <alignment horizontal="right"/>
    </xf>
    <xf numFmtId="4" fontId="6" fillId="4" borderId="1" xfId="2" applyNumberFormat="1" applyFont="1" applyFill="1" applyBorder="1" applyAlignment="1">
      <alignment horizontal="right"/>
    </xf>
    <xf numFmtId="14" fontId="6" fillId="4" borderId="1" xfId="2" applyNumberFormat="1" applyFont="1" applyFill="1" applyBorder="1" applyAlignment="1">
      <alignment horizontal="right"/>
    </xf>
    <xf numFmtId="14" fontId="6" fillId="4" borderId="1" xfId="2" applyNumberFormat="1" applyFont="1" applyFill="1" applyBorder="1"/>
    <xf numFmtId="0" fontId="5" fillId="4" borderId="1" xfId="2" applyFill="1" applyBorder="1"/>
    <xf numFmtId="165" fontId="6" fillId="4" borderId="1" xfId="2" applyNumberFormat="1" applyFont="1" applyFill="1" applyBorder="1" applyAlignment="1">
      <alignment horizontal="right" vertical="center"/>
    </xf>
    <xf numFmtId="0" fontId="6" fillId="4" borderId="1" xfId="2" applyFont="1" applyFill="1" applyBorder="1"/>
  </cellXfs>
  <cellStyles count="3">
    <cellStyle name="Comma" xfId="1" builtinId="3"/>
    <cellStyle name="Normal" xfId="0" builtinId="0"/>
    <cellStyle name="Normal 3" xfId="2" xr:uid="{DAB4919D-CE3D-0042-BCCD-B1EF0C3D65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C130-DB89-054C-BAC3-B413EEF52F40}">
  <dimension ref="A1:U653"/>
  <sheetViews>
    <sheetView tabSelected="1" topLeftCell="D1" workbookViewId="0">
      <selection sqref="A1:U653"/>
    </sheetView>
  </sheetViews>
  <sheetFormatPr baseColWidth="10" defaultRowHeight="16" x14ac:dyDescent="0.2"/>
  <cols>
    <col min="2" max="2" width="48.6640625" bestFit="1" customWidth="1"/>
    <col min="3" max="3" width="50.1640625" bestFit="1" customWidth="1"/>
    <col min="4" max="4" width="45.1640625" bestFit="1" customWidth="1"/>
    <col min="5" max="5" width="20.83203125" bestFit="1" customWidth="1"/>
    <col min="10" max="10" width="16" customWidth="1"/>
    <col min="11" max="12" width="16.33203125" customWidth="1"/>
    <col min="14" max="14" width="17.83203125" customWidth="1"/>
    <col min="15" max="15" width="17.1640625" customWidth="1"/>
    <col min="16" max="16" width="17.5" customWidth="1"/>
    <col min="17" max="17" width="17.83203125" customWidth="1"/>
  </cols>
  <sheetData>
    <row r="1" spans="1:21" ht="28" x14ac:dyDescent="0.2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8"/>
      <c r="J1" s="9" t="s">
        <v>7</v>
      </c>
      <c r="K1" s="10" t="s">
        <v>7</v>
      </c>
      <c r="L1" s="11" t="s">
        <v>8</v>
      </c>
      <c r="M1" s="11" t="s">
        <v>9</v>
      </c>
      <c r="N1" s="12" t="s">
        <v>10</v>
      </c>
      <c r="O1" s="10" t="s">
        <v>10</v>
      </c>
      <c r="P1" s="13" t="s">
        <v>11</v>
      </c>
      <c r="Q1" s="13" t="s">
        <v>12</v>
      </c>
      <c r="R1" s="4" t="s">
        <v>13</v>
      </c>
      <c r="S1" s="5" t="s">
        <v>14</v>
      </c>
      <c r="T1" s="5" t="s">
        <v>15</v>
      </c>
      <c r="U1" s="14"/>
    </row>
    <row r="2" spans="1:21" x14ac:dyDescent="0.2">
      <c r="A2" s="1"/>
      <c r="B2" s="15" t="s">
        <v>16</v>
      </c>
      <c r="C2" s="3"/>
      <c r="D2" s="4"/>
      <c r="E2" s="5"/>
      <c r="F2" s="6"/>
      <c r="G2" s="6"/>
      <c r="H2" s="12"/>
      <c r="I2" s="12"/>
      <c r="J2" s="9"/>
      <c r="K2" s="10"/>
      <c r="L2" s="16"/>
      <c r="M2" s="16"/>
      <c r="N2" s="12"/>
      <c r="O2" s="10"/>
      <c r="P2" s="13"/>
      <c r="Q2" s="13"/>
      <c r="R2" s="4"/>
      <c r="S2" s="5"/>
      <c r="T2" s="14"/>
      <c r="U2" s="14"/>
    </row>
    <row r="3" spans="1:21" x14ac:dyDescent="0.2">
      <c r="A3" s="17">
        <v>1</v>
      </c>
      <c r="B3" s="18" t="s">
        <v>17</v>
      </c>
      <c r="C3" s="19" t="s">
        <v>18</v>
      </c>
      <c r="D3" s="20" t="s">
        <v>19</v>
      </c>
      <c r="E3" s="21">
        <v>80000</v>
      </c>
      <c r="F3" s="20" t="s">
        <v>20</v>
      </c>
      <c r="G3" s="20" t="s">
        <v>21</v>
      </c>
      <c r="H3" s="22">
        <v>45658</v>
      </c>
      <c r="I3" s="23">
        <v>46022</v>
      </c>
      <c r="J3" s="24">
        <v>45930</v>
      </c>
      <c r="K3" s="25">
        <v>45930</v>
      </c>
      <c r="L3" s="26" t="str">
        <f>TEXT(K3,"MMM YY")</f>
        <v>Sep 25</v>
      </c>
      <c r="M3" s="26" t="str">
        <f>TEXT(K3,"yyyy")</f>
        <v>2025</v>
      </c>
      <c r="N3" s="25">
        <v>45933</v>
      </c>
      <c r="O3" s="25">
        <f>N3</f>
        <v>45933</v>
      </c>
      <c r="P3" s="27">
        <f>DATEDIF(K3,O3,"M")</f>
        <v>0</v>
      </c>
      <c r="Q3" s="27">
        <f>YEAR(O3)-YEAR(K3)</f>
        <v>0</v>
      </c>
      <c r="R3" s="28" t="s">
        <v>22</v>
      </c>
      <c r="S3" s="21">
        <v>24570</v>
      </c>
      <c r="T3" s="18" t="s">
        <v>23</v>
      </c>
      <c r="U3" s="14"/>
    </row>
    <row r="4" spans="1:21" x14ac:dyDescent="0.2">
      <c r="A4" s="17">
        <v>2</v>
      </c>
      <c r="B4" s="18" t="s">
        <v>24</v>
      </c>
      <c r="C4" s="19" t="s">
        <v>25</v>
      </c>
      <c r="D4" s="20" t="s">
        <v>26</v>
      </c>
      <c r="E4" s="21">
        <v>500000</v>
      </c>
      <c r="F4" s="20" t="s">
        <v>21</v>
      </c>
      <c r="G4" s="20" t="s">
        <v>21</v>
      </c>
      <c r="H4" s="22" t="s">
        <v>27</v>
      </c>
      <c r="I4" s="23" t="s">
        <v>28</v>
      </c>
      <c r="J4" s="24" t="s">
        <v>29</v>
      </c>
      <c r="K4" s="25">
        <f t="shared" ref="K4:K67" si="0">DATE(RIGHT(J4,4),MID(J4,4,2),LEFT(J4,2))</f>
        <v>45980</v>
      </c>
      <c r="L4" s="26" t="str">
        <f t="shared" ref="L4:L67" si="1">TEXT(K4,"MMM YY")</f>
        <v>Nov 25</v>
      </c>
      <c r="M4" s="26" t="str">
        <f t="shared" ref="M4:M67" si="2">TEXT(K4,"yyyy")</f>
        <v>2025</v>
      </c>
      <c r="N4" s="23" t="s">
        <v>30</v>
      </c>
      <c r="O4" s="25">
        <f t="shared" ref="O4:O17" si="3">DATE(RIGHT(N4,4),MID(N4,4,2),LEFT(N4,2))</f>
        <v>45987</v>
      </c>
      <c r="P4" s="27">
        <f t="shared" ref="P4:P67" si="4">DATEDIF(K4,O4,"M")</f>
        <v>0</v>
      </c>
      <c r="Q4" s="27">
        <f t="shared" ref="Q4:Q67" si="5">YEAR(O4)-YEAR(K4)</f>
        <v>0</v>
      </c>
      <c r="R4" s="28" t="s">
        <v>22</v>
      </c>
      <c r="S4" s="21">
        <v>22164.400000000001</v>
      </c>
      <c r="T4" s="18" t="s">
        <v>23</v>
      </c>
      <c r="U4" s="14"/>
    </row>
    <row r="5" spans="1:21" x14ac:dyDescent="0.2">
      <c r="A5" s="17">
        <v>3</v>
      </c>
      <c r="B5" s="18" t="s">
        <v>31</v>
      </c>
      <c r="C5" s="18" t="s">
        <v>32</v>
      </c>
      <c r="D5" s="20" t="s">
        <v>33</v>
      </c>
      <c r="E5" s="21">
        <v>224425</v>
      </c>
      <c r="F5" s="20" t="s">
        <v>21</v>
      </c>
      <c r="G5" s="20" t="s">
        <v>21</v>
      </c>
      <c r="H5" s="22" t="s">
        <v>27</v>
      </c>
      <c r="I5" s="23" t="s">
        <v>34</v>
      </c>
      <c r="J5" s="24" t="s">
        <v>35</v>
      </c>
      <c r="K5" s="25">
        <f t="shared" si="0"/>
        <v>45971</v>
      </c>
      <c r="L5" s="26" t="str">
        <f t="shared" si="1"/>
        <v>Nov 25</v>
      </c>
      <c r="M5" s="26" t="str">
        <f t="shared" si="2"/>
        <v>2025</v>
      </c>
      <c r="N5" s="23" t="s">
        <v>36</v>
      </c>
      <c r="O5" s="25">
        <f t="shared" si="3"/>
        <v>45994</v>
      </c>
      <c r="P5" s="27">
        <f t="shared" si="4"/>
        <v>0</v>
      </c>
      <c r="Q5" s="27">
        <f t="shared" si="5"/>
        <v>0</v>
      </c>
      <c r="R5" s="28" t="s">
        <v>37</v>
      </c>
      <c r="S5" s="21">
        <v>46263</v>
      </c>
      <c r="T5" s="18" t="s">
        <v>23</v>
      </c>
      <c r="U5" s="14"/>
    </row>
    <row r="6" spans="1:21" ht="56" x14ac:dyDescent="0.2">
      <c r="A6" s="17">
        <v>4</v>
      </c>
      <c r="B6" s="18" t="s">
        <v>38</v>
      </c>
      <c r="C6" s="29" t="s">
        <v>39</v>
      </c>
      <c r="D6" s="30" t="s">
        <v>40</v>
      </c>
      <c r="E6" s="31">
        <v>100000</v>
      </c>
      <c r="F6" s="31" t="s">
        <v>21</v>
      </c>
      <c r="G6" s="31" t="s">
        <v>21</v>
      </c>
      <c r="H6" s="32" t="s">
        <v>27</v>
      </c>
      <c r="I6" s="33" t="s">
        <v>28</v>
      </c>
      <c r="J6" s="24" t="s">
        <v>41</v>
      </c>
      <c r="K6" s="25">
        <f t="shared" si="0"/>
        <v>45981</v>
      </c>
      <c r="L6" s="26" t="str">
        <f t="shared" si="1"/>
        <v>Nov 25</v>
      </c>
      <c r="M6" s="26" t="str">
        <f t="shared" si="2"/>
        <v>2025</v>
      </c>
      <c r="N6" s="23" t="s">
        <v>42</v>
      </c>
      <c r="O6" s="25">
        <f t="shared" si="3"/>
        <v>45992</v>
      </c>
      <c r="P6" s="27">
        <f t="shared" si="4"/>
        <v>0</v>
      </c>
      <c r="Q6" s="27">
        <f t="shared" si="5"/>
        <v>0</v>
      </c>
      <c r="R6" s="28" t="s">
        <v>43</v>
      </c>
      <c r="S6" s="21">
        <v>24400</v>
      </c>
      <c r="T6" s="18" t="s">
        <v>23</v>
      </c>
      <c r="U6" s="14"/>
    </row>
    <row r="7" spans="1:21" ht="70" x14ac:dyDescent="0.2">
      <c r="A7" s="17">
        <v>5</v>
      </c>
      <c r="B7" s="34" t="s">
        <v>44</v>
      </c>
      <c r="C7" s="29" t="s">
        <v>45</v>
      </c>
      <c r="D7" s="30" t="s">
        <v>46</v>
      </c>
      <c r="E7" s="31">
        <v>380000</v>
      </c>
      <c r="F7" s="31" t="s">
        <v>21</v>
      </c>
      <c r="G7" s="31" t="s">
        <v>21</v>
      </c>
      <c r="H7" s="32" t="s">
        <v>47</v>
      </c>
      <c r="I7" s="33" t="s">
        <v>48</v>
      </c>
      <c r="J7" s="35" t="s">
        <v>41</v>
      </c>
      <c r="K7" s="25">
        <f t="shared" si="0"/>
        <v>45981</v>
      </c>
      <c r="L7" s="26" t="str">
        <f t="shared" si="1"/>
        <v>Nov 25</v>
      </c>
      <c r="M7" s="26" t="str">
        <f t="shared" si="2"/>
        <v>2025</v>
      </c>
      <c r="N7" s="36" t="s">
        <v>49</v>
      </c>
      <c r="O7" s="25">
        <f t="shared" si="3"/>
        <v>46000</v>
      </c>
      <c r="P7" s="27">
        <f t="shared" si="4"/>
        <v>0</v>
      </c>
      <c r="Q7" s="27">
        <f t="shared" si="5"/>
        <v>0</v>
      </c>
      <c r="R7" s="37" t="s">
        <v>50</v>
      </c>
      <c r="S7" s="31">
        <v>83880</v>
      </c>
      <c r="T7" s="18" t="s">
        <v>23</v>
      </c>
      <c r="U7" s="14"/>
    </row>
    <row r="8" spans="1:21" ht="43" x14ac:dyDescent="0.2">
      <c r="A8" s="17">
        <v>6</v>
      </c>
      <c r="B8" s="34" t="s">
        <v>51</v>
      </c>
      <c r="C8" s="18" t="s">
        <v>52</v>
      </c>
      <c r="D8" s="20" t="s">
        <v>53</v>
      </c>
      <c r="E8" s="21">
        <v>135000</v>
      </c>
      <c r="F8" s="20" t="s">
        <v>21</v>
      </c>
      <c r="G8" s="20" t="s">
        <v>21</v>
      </c>
      <c r="H8" s="22" t="s">
        <v>54</v>
      </c>
      <c r="I8" s="23" t="s">
        <v>55</v>
      </c>
      <c r="J8" s="35" t="s">
        <v>56</v>
      </c>
      <c r="K8" s="25">
        <f t="shared" si="0"/>
        <v>45979</v>
      </c>
      <c r="L8" s="26" t="str">
        <f t="shared" si="1"/>
        <v>Nov 25</v>
      </c>
      <c r="M8" s="26" t="str">
        <f t="shared" si="2"/>
        <v>2025</v>
      </c>
      <c r="N8" s="36" t="s">
        <v>57</v>
      </c>
      <c r="O8" s="25">
        <f t="shared" si="3"/>
        <v>46015</v>
      </c>
      <c r="P8" s="27">
        <f t="shared" si="4"/>
        <v>1</v>
      </c>
      <c r="Q8" s="27">
        <f t="shared" si="5"/>
        <v>0</v>
      </c>
      <c r="R8" s="37" t="s">
        <v>22</v>
      </c>
      <c r="S8" s="31">
        <v>22716</v>
      </c>
      <c r="T8" s="18" t="s">
        <v>23</v>
      </c>
      <c r="U8" s="14"/>
    </row>
    <row r="9" spans="1:21" x14ac:dyDescent="0.2">
      <c r="A9" s="17">
        <v>7</v>
      </c>
      <c r="B9" s="18" t="s">
        <v>58</v>
      </c>
      <c r="C9" s="28" t="s">
        <v>59</v>
      </c>
      <c r="D9" s="20" t="s">
        <v>60</v>
      </c>
      <c r="E9" s="21">
        <v>200000</v>
      </c>
      <c r="F9" s="20" t="s">
        <v>21</v>
      </c>
      <c r="G9" s="20" t="s">
        <v>21</v>
      </c>
      <c r="H9" s="22" t="s">
        <v>61</v>
      </c>
      <c r="I9" s="23" t="s">
        <v>62</v>
      </c>
      <c r="J9" s="24" t="s">
        <v>63</v>
      </c>
      <c r="K9" s="25">
        <f t="shared" si="0"/>
        <v>46003</v>
      </c>
      <c r="L9" s="26" t="str">
        <f t="shared" si="1"/>
        <v>Dec 25</v>
      </c>
      <c r="M9" s="26" t="str">
        <f t="shared" si="2"/>
        <v>2025</v>
      </c>
      <c r="N9" s="23" t="s">
        <v>64</v>
      </c>
      <c r="O9" s="25">
        <f t="shared" si="3"/>
        <v>46017</v>
      </c>
      <c r="P9" s="27">
        <f t="shared" si="4"/>
        <v>0</v>
      </c>
      <c r="Q9" s="27">
        <f t="shared" si="5"/>
        <v>0</v>
      </c>
      <c r="R9" s="28" t="s">
        <v>65</v>
      </c>
      <c r="S9" s="21">
        <v>5966.34</v>
      </c>
      <c r="T9" s="18" t="s">
        <v>23</v>
      </c>
      <c r="U9" s="14"/>
    </row>
    <row r="10" spans="1:21" x14ac:dyDescent="0.2">
      <c r="A10" s="17">
        <v>8</v>
      </c>
      <c r="B10" s="18" t="s">
        <v>66</v>
      </c>
      <c r="C10" s="18" t="s">
        <v>67</v>
      </c>
      <c r="D10" s="20" t="s">
        <v>68</v>
      </c>
      <c r="E10" s="21">
        <v>150000</v>
      </c>
      <c r="F10" s="20" t="s">
        <v>69</v>
      </c>
      <c r="G10" s="20" t="s">
        <v>21</v>
      </c>
      <c r="H10" s="22" t="s">
        <v>27</v>
      </c>
      <c r="I10" s="23" t="s">
        <v>28</v>
      </c>
      <c r="J10" s="24" t="s">
        <v>70</v>
      </c>
      <c r="K10" s="25">
        <f t="shared" si="0"/>
        <v>45897</v>
      </c>
      <c r="L10" s="26" t="str">
        <f t="shared" si="1"/>
        <v>Aug 25</v>
      </c>
      <c r="M10" s="26" t="str">
        <f t="shared" si="2"/>
        <v>2025</v>
      </c>
      <c r="N10" s="23" t="s">
        <v>36</v>
      </c>
      <c r="O10" s="25">
        <f t="shared" si="3"/>
        <v>45994</v>
      </c>
      <c r="P10" s="27">
        <f t="shared" si="4"/>
        <v>3</v>
      </c>
      <c r="Q10" s="27">
        <f t="shared" si="5"/>
        <v>0</v>
      </c>
      <c r="R10" s="28" t="s">
        <v>71</v>
      </c>
      <c r="S10" s="21">
        <v>27000</v>
      </c>
      <c r="T10" s="18" t="s">
        <v>23</v>
      </c>
      <c r="U10" s="14"/>
    </row>
    <row r="11" spans="1:21" x14ac:dyDescent="0.2">
      <c r="A11" s="17">
        <v>9</v>
      </c>
      <c r="B11" s="18" t="s">
        <v>72</v>
      </c>
      <c r="C11" s="18" t="s">
        <v>73</v>
      </c>
      <c r="D11" s="20" t="s">
        <v>74</v>
      </c>
      <c r="E11" s="21">
        <v>170000</v>
      </c>
      <c r="F11" s="20" t="s">
        <v>21</v>
      </c>
      <c r="G11" s="20" t="s">
        <v>21</v>
      </c>
      <c r="H11" s="22" t="s">
        <v>75</v>
      </c>
      <c r="I11" s="23" t="s">
        <v>76</v>
      </c>
      <c r="J11" s="24" t="s">
        <v>63</v>
      </c>
      <c r="K11" s="25">
        <f t="shared" si="0"/>
        <v>46003</v>
      </c>
      <c r="L11" s="26" t="str">
        <f t="shared" si="1"/>
        <v>Dec 25</v>
      </c>
      <c r="M11" s="26" t="str">
        <f t="shared" si="2"/>
        <v>2025</v>
      </c>
      <c r="N11" s="23" t="s">
        <v>77</v>
      </c>
      <c r="O11" s="25">
        <f t="shared" si="3"/>
        <v>46007</v>
      </c>
      <c r="P11" s="27">
        <f t="shared" si="4"/>
        <v>0</v>
      </c>
      <c r="Q11" s="27">
        <f t="shared" si="5"/>
        <v>0</v>
      </c>
      <c r="R11" s="28" t="s">
        <v>78</v>
      </c>
      <c r="S11" s="21">
        <v>26865</v>
      </c>
      <c r="T11" s="18" t="s">
        <v>23</v>
      </c>
      <c r="U11" s="14"/>
    </row>
    <row r="12" spans="1:21" x14ac:dyDescent="0.2">
      <c r="A12" s="17">
        <v>10</v>
      </c>
      <c r="B12" s="18" t="s">
        <v>79</v>
      </c>
      <c r="C12" s="18" t="s">
        <v>80</v>
      </c>
      <c r="D12" s="20" t="s">
        <v>81</v>
      </c>
      <c r="E12" s="21">
        <v>150000</v>
      </c>
      <c r="F12" s="20" t="s">
        <v>21</v>
      </c>
      <c r="G12" s="20" t="s">
        <v>21</v>
      </c>
      <c r="H12" s="22">
        <v>45839</v>
      </c>
      <c r="I12" s="23">
        <v>46203</v>
      </c>
      <c r="J12" s="24">
        <v>46012</v>
      </c>
      <c r="K12" s="25">
        <f t="shared" si="0"/>
        <v>1502259</v>
      </c>
      <c r="L12" s="26" t="str">
        <f t="shared" si="1"/>
        <v>Jan 13</v>
      </c>
      <c r="M12" s="26" t="str">
        <f t="shared" si="2"/>
        <v>6013</v>
      </c>
      <c r="N12" s="23">
        <v>46015</v>
      </c>
      <c r="O12" s="25">
        <f t="shared" si="3"/>
        <v>1503445</v>
      </c>
      <c r="P12" s="27">
        <f t="shared" si="4"/>
        <v>39</v>
      </c>
      <c r="Q12" s="27">
        <f t="shared" si="5"/>
        <v>3</v>
      </c>
      <c r="R12" s="28" t="s">
        <v>65</v>
      </c>
      <c r="S12" s="21">
        <v>42282</v>
      </c>
      <c r="T12" s="18" t="s">
        <v>23</v>
      </c>
      <c r="U12" s="14"/>
    </row>
    <row r="13" spans="1:21" x14ac:dyDescent="0.2">
      <c r="A13" s="17">
        <v>11</v>
      </c>
      <c r="B13" s="18" t="s">
        <v>82</v>
      </c>
      <c r="C13" s="18" t="s">
        <v>83</v>
      </c>
      <c r="D13" s="20" t="s">
        <v>84</v>
      </c>
      <c r="E13" s="21">
        <v>100000</v>
      </c>
      <c r="F13" s="20" t="s">
        <v>21</v>
      </c>
      <c r="G13" s="20" t="s">
        <v>21</v>
      </c>
      <c r="H13" s="22" t="s">
        <v>85</v>
      </c>
      <c r="I13" s="23" t="s">
        <v>86</v>
      </c>
      <c r="J13" s="24" t="s">
        <v>63</v>
      </c>
      <c r="K13" s="25">
        <f t="shared" si="0"/>
        <v>46003</v>
      </c>
      <c r="L13" s="26" t="str">
        <f t="shared" si="1"/>
        <v>Dec 25</v>
      </c>
      <c r="M13" s="26" t="str">
        <f t="shared" si="2"/>
        <v>2025</v>
      </c>
      <c r="N13" s="23" t="s">
        <v>87</v>
      </c>
      <c r="O13" s="25">
        <f t="shared" si="3"/>
        <v>46021</v>
      </c>
      <c r="P13" s="27">
        <f t="shared" si="4"/>
        <v>0</v>
      </c>
      <c r="Q13" s="27">
        <f t="shared" si="5"/>
        <v>0</v>
      </c>
      <c r="R13" s="28" t="s">
        <v>88</v>
      </c>
      <c r="S13" s="21">
        <v>20700</v>
      </c>
      <c r="T13" s="18" t="s">
        <v>23</v>
      </c>
      <c r="U13" s="14"/>
    </row>
    <row r="14" spans="1:21" x14ac:dyDescent="0.2">
      <c r="A14" s="17">
        <v>12</v>
      </c>
      <c r="B14" s="18" t="s">
        <v>89</v>
      </c>
      <c r="C14" s="18" t="s">
        <v>90</v>
      </c>
      <c r="D14" s="20" t="s">
        <v>91</v>
      </c>
      <c r="E14" s="21">
        <v>75000</v>
      </c>
      <c r="F14" s="20" t="s">
        <v>21</v>
      </c>
      <c r="G14" s="20" t="s">
        <v>21</v>
      </c>
      <c r="H14" s="22" t="s">
        <v>27</v>
      </c>
      <c r="I14" s="23" t="s">
        <v>28</v>
      </c>
      <c r="J14" s="24" t="s">
        <v>30</v>
      </c>
      <c r="K14" s="25">
        <f t="shared" si="0"/>
        <v>45987</v>
      </c>
      <c r="L14" s="26" t="str">
        <f t="shared" si="1"/>
        <v>Nov 25</v>
      </c>
      <c r="M14" s="26" t="str">
        <f t="shared" si="2"/>
        <v>2025</v>
      </c>
      <c r="N14" s="23" t="s">
        <v>36</v>
      </c>
      <c r="O14" s="25">
        <f t="shared" si="3"/>
        <v>45994</v>
      </c>
      <c r="P14" s="27">
        <f t="shared" si="4"/>
        <v>0</v>
      </c>
      <c r="Q14" s="27">
        <f t="shared" si="5"/>
        <v>0</v>
      </c>
      <c r="R14" s="28" t="s">
        <v>92</v>
      </c>
      <c r="S14" s="21">
        <v>8200</v>
      </c>
      <c r="T14" s="18" t="s">
        <v>23</v>
      </c>
      <c r="U14" s="14"/>
    </row>
    <row r="15" spans="1:21" x14ac:dyDescent="0.2">
      <c r="A15" s="17">
        <v>13</v>
      </c>
      <c r="B15" s="18" t="s">
        <v>93</v>
      </c>
      <c r="C15" s="18" t="s">
        <v>94</v>
      </c>
      <c r="D15" s="20" t="s">
        <v>95</v>
      </c>
      <c r="E15" s="21">
        <v>100000</v>
      </c>
      <c r="F15" s="20" t="s">
        <v>21</v>
      </c>
      <c r="G15" s="20" t="s">
        <v>21</v>
      </c>
      <c r="H15" s="22" t="s">
        <v>96</v>
      </c>
      <c r="I15" s="23" t="s">
        <v>97</v>
      </c>
      <c r="J15" s="24" t="s">
        <v>98</v>
      </c>
      <c r="K15" s="25">
        <f t="shared" si="0"/>
        <v>45657</v>
      </c>
      <c r="L15" s="26" t="str">
        <f t="shared" si="1"/>
        <v>Dec 24</v>
      </c>
      <c r="M15" s="26" t="str">
        <f t="shared" si="2"/>
        <v>2024</v>
      </c>
      <c r="N15" s="23" t="s">
        <v>99</v>
      </c>
      <c r="O15" s="25">
        <f t="shared" si="3"/>
        <v>45677</v>
      </c>
      <c r="P15" s="27">
        <f t="shared" si="4"/>
        <v>0</v>
      </c>
      <c r="Q15" s="27">
        <f t="shared" si="5"/>
        <v>1</v>
      </c>
      <c r="R15" s="28" t="s">
        <v>22</v>
      </c>
      <c r="S15" s="21">
        <v>2385</v>
      </c>
      <c r="T15" s="18" t="s">
        <v>23</v>
      </c>
      <c r="U15" s="14"/>
    </row>
    <row r="16" spans="1:21" x14ac:dyDescent="0.2">
      <c r="A16" s="17">
        <v>14</v>
      </c>
      <c r="B16" s="18" t="s">
        <v>100</v>
      </c>
      <c r="C16" s="18" t="s">
        <v>101</v>
      </c>
      <c r="D16" s="20" t="s">
        <v>102</v>
      </c>
      <c r="E16" s="21">
        <v>150000</v>
      </c>
      <c r="F16" s="20" t="s">
        <v>21</v>
      </c>
      <c r="G16" s="20" t="s">
        <v>21</v>
      </c>
      <c r="H16" s="22" t="s">
        <v>103</v>
      </c>
      <c r="I16" s="23" t="s">
        <v>104</v>
      </c>
      <c r="J16" s="24" t="s">
        <v>105</v>
      </c>
      <c r="K16" s="25">
        <f t="shared" si="0"/>
        <v>45766</v>
      </c>
      <c r="L16" s="26" t="str">
        <f t="shared" si="1"/>
        <v>Apr 25</v>
      </c>
      <c r="M16" s="26" t="str">
        <f t="shared" si="2"/>
        <v>2025</v>
      </c>
      <c r="N16" s="23" t="s">
        <v>106</v>
      </c>
      <c r="O16" s="25">
        <f t="shared" si="3"/>
        <v>45786</v>
      </c>
      <c r="P16" s="27">
        <f t="shared" si="4"/>
        <v>0</v>
      </c>
      <c r="Q16" s="27">
        <f t="shared" si="5"/>
        <v>0</v>
      </c>
      <c r="R16" s="28" t="s">
        <v>65</v>
      </c>
      <c r="S16" s="21">
        <v>1100</v>
      </c>
      <c r="T16" s="18" t="s">
        <v>23</v>
      </c>
      <c r="U16" s="14"/>
    </row>
    <row r="17" spans="1:21" x14ac:dyDescent="0.2">
      <c r="A17" s="17">
        <v>15</v>
      </c>
      <c r="B17" s="18" t="s">
        <v>107</v>
      </c>
      <c r="C17" s="18" t="s">
        <v>108</v>
      </c>
      <c r="D17" s="20" t="s">
        <v>109</v>
      </c>
      <c r="E17" s="21">
        <v>125000</v>
      </c>
      <c r="F17" s="20" t="s">
        <v>21</v>
      </c>
      <c r="G17" s="20" t="s">
        <v>21</v>
      </c>
      <c r="H17" s="22" t="s">
        <v>110</v>
      </c>
      <c r="I17" s="23" t="s">
        <v>111</v>
      </c>
      <c r="J17" s="24" t="s">
        <v>112</v>
      </c>
      <c r="K17" s="25">
        <f t="shared" si="0"/>
        <v>45694</v>
      </c>
      <c r="L17" s="26" t="str">
        <f t="shared" si="1"/>
        <v>Feb 25</v>
      </c>
      <c r="M17" s="26" t="str">
        <f t="shared" si="2"/>
        <v>2025</v>
      </c>
      <c r="N17" s="23" t="s">
        <v>113</v>
      </c>
      <c r="O17" s="25">
        <f t="shared" si="3"/>
        <v>45720</v>
      </c>
      <c r="P17" s="27">
        <f t="shared" si="4"/>
        <v>0</v>
      </c>
      <c r="Q17" s="27">
        <f t="shared" si="5"/>
        <v>0</v>
      </c>
      <c r="R17" s="28" t="s">
        <v>22</v>
      </c>
      <c r="S17" s="21">
        <v>5220</v>
      </c>
      <c r="T17" s="18" t="s">
        <v>23</v>
      </c>
      <c r="U17" s="14"/>
    </row>
    <row r="18" spans="1:21" x14ac:dyDescent="0.2">
      <c r="A18" s="17">
        <v>16</v>
      </c>
      <c r="B18" s="18" t="s">
        <v>114</v>
      </c>
      <c r="C18" s="28" t="s">
        <v>115</v>
      </c>
      <c r="D18" s="38" t="s">
        <v>116</v>
      </c>
      <c r="E18" s="39">
        <v>150000</v>
      </c>
      <c r="F18" s="40" t="s">
        <v>21</v>
      </c>
      <c r="G18" s="40" t="s">
        <v>21</v>
      </c>
      <c r="H18" s="41" t="s">
        <v>117</v>
      </c>
      <c r="I18" s="41" t="s">
        <v>118</v>
      </c>
      <c r="J18" s="24" t="s">
        <v>119</v>
      </c>
      <c r="K18" s="25">
        <f t="shared" si="0"/>
        <v>45593</v>
      </c>
      <c r="L18" s="26" t="str">
        <f t="shared" si="1"/>
        <v>Oct 24</v>
      </c>
      <c r="M18" s="26" t="str">
        <f t="shared" si="2"/>
        <v>2024</v>
      </c>
      <c r="N18" s="23" t="s">
        <v>120</v>
      </c>
      <c r="O18" s="25" t="str">
        <f>N18</f>
        <v>03.01.2025</v>
      </c>
      <c r="P18" s="27" t="e">
        <f t="shared" si="4"/>
        <v>#VALUE!</v>
      </c>
      <c r="Q18" s="27" t="e">
        <f t="shared" si="5"/>
        <v>#VALUE!</v>
      </c>
      <c r="R18" s="28" t="s">
        <v>121</v>
      </c>
      <c r="S18" s="21">
        <v>3735</v>
      </c>
      <c r="T18" s="18" t="s">
        <v>23</v>
      </c>
      <c r="U18" s="14"/>
    </row>
    <row r="19" spans="1:21" x14ac:dyDescent="0.2">
      <c r="A19" s="17">
        <v>17</v>
      </c>
      <c r="B19" s="18" t="s">
        <v>122</v>
      </c>
      <c r="C19" s="18" t="s">
        <v>123</v>
      </c>
      <c r="D19" s="20" t="s">
        <v>124</v>
      </c>
      <c r="E19" s="21">
        <v>100000</v>
      </c>
      <c r="F19" s="20" t="s">
        <v>21</v>
      </c>
      <c r="G19" s="20" t="s">
        <v>21</v>
      </c>
      <c r="H19" s="22" t="s">
        <v>125</v>
      </c>
      <c r="I19" s="23" t="s">
        <v>126</v>
      </c>
      <c r="J19" s="42" t="s">
        <v>127</v>
      </c>
      <c r="K19" s="25">
        <f t="shared" si="0"/>
        <v>45645</v>
      </c>
      <c r="L19" s="26" t="str">
        <f t="shared" si="1"/>
        <v>Dec 24</v>
      </c>
      <c r="M19" s="26" t="str">
        <f t="shared" si="2"/>
        <v>2024</v>
      </c>
      <c r="N19" s="41" t="s">
        <v>128</v>
      </c>
      <c r="O19" s="25">
        <f t="shared" ref="O19:O82" si="6">DATE(RIGHT(N19,4),MID(N19,4,2),LEFT(N19,2))</f>
        <v>45664</v>
      </c>
      <c r="P19" s="27">
        <f t="shared" si="4"/>
        <v>0</v>
      </c>
      <c r="Q19" s="27">
        <f t="shared" si="5"/>
        <v>1</v>
      </c>
      <c r="R19" s="43" t="s">
        <v>22</v>
      </c>
      <c r="S19" s="40">
        <v>90000</v>
      </c>
      <c r="T19" s="18" t="s">
        <v>23</v>
      </c>
      <c r="U19" s="14"/>
    </row>
    <row r="20" spans="1:21" x14ac:dyDescent="0.2">
      <c r="A20" s="17">
        <v>18</v>
      </c>
      <c r="B20" s="18" t="s">
        <v>129</v>
      </c>
      <c r="C20" s="18" t="s">
        <v>130</v>
      </c>
      <c r="D20" s="20" t="s">
        <v>131</v>
      </c>
      <c r="E20" s="21">
        <v>120000</v>
      </c>
      <c r="F20" s="20" t="s">
        <v>132</v>
      </c>
      <c r="G20" s="20" t="s">
        <v>21</v>
      </c>
      <c r="H20" s="22" t="s">
        <v>133</v>
      </c>
      <c r="I20" s="23" t="s">
        <v>56</v>
      </c>
      <c r="J20" s="24" t="s">
        <v>134</v>
      </c>
      <c r="K20" s="25">
        <f t="shared" si="0"/>
        <v>45643</v>
      </c>
      <c r="L20" s="26" t="str">
        <f t="shared" si="1"/>
        <v>Dec 24</v>
      </c>
      <c r="M20" s="26" t="str">
        <f t="shared" si="2"/>
        <v>2024</v>
      </c>
      <c r="N20" s="23" t="s">
        <v>135</v>
      </c>
      <c r="O20" s="25">
        <f t="shared" si="6"/>
        <v>45667</v>
      </c>
      <c r="P20" s="27">
        <f t="shared" si="4"/>
        <v>0</v>
      </c>
      <c r="Q20" s="27">
        <f t="shared" si="5"/>
        <v>1</v>
      </c>
      <c r="R20" s="28" t="s">
        <v>136</v>
      </c>
      <c r="S20" s="21">
        <v>20124</v>
      </c>
      <c r="T20" s="18" t="s">
        <v>23</v>
      </c>
      <c r="U20" s="14"/>
    </row>
    <row r="21" spans="1:21" x14ac:dyDescent="0.2">
      <c r="A21" s="17">
        <v>19</v>
      </c>
      <c r="B21" s="18" t="s">
        <v>137</v>
      </c>
      <c r="C21" s="28" t="s">
        <v>138</v>
      </c>
      <c r="D21" s="20" t="s">
        <v>139</v>
      </c>
      <c r="E21" s="21">
        <v>135000</v>
      </c>
      <c r="F21" s="20" t="s">
        <v>21</v>
      </c>
      <c r="G21" s="20" t="s">
        <v>21</v>
      </c>
      <c r="H21" s="22" t="s">
        <v>140</v>
      </c>
      <c r="I21" s="23" t="s">
        <v>141</v>
      </c>
      <c r="J21" s="24" t="s">
        <v>142</v>
      </c>
      <c r="K21" s="25">
        <f t="shared" si="0"/>
        <v>45665</v>
      </c>
      <c r="L21" s="26" t="str">
        <f t="shared" si="1"/>
        <v>Jan 25</v>
      </c>
      <c r="M21" s="26" t="str">
        <f t="shared" si="2"/>
        <v>2025</v>
      </c>
      <c r="N21" s="23" t="s">
        <v>143</v>
      </c>
      <c r="O21" s="25">
        <f t="shared" si="6"/>
        <v>45666</v>
      </c>
      <c r="P21" s="27">
        <f t="shared" si="4"/>
        <v>0</v>
      </c>
      <c r="Q21" s="27">
        <f t="shared" si="5"/>
        <v>0</v>
      </c>
      <c r="R21" s="28" t="s">
        <v>22</v>
      </c>
      <c r="S21" s="21">
        <v>14900</v>
      </c>
      <c r="T21" s="18" t="s">
        <v>23</v>
      </c>
      <c r="U21" s="14"/>
    </row>
    <row r="22" spans="1:21" x14ac:dyDescent="0.2">
      <c r="A22" s="17">
        <v>20</v>
      </c>
      <c r="B22" s="18" t="s">
        <v>144</v>
      </c>
      <c r="C22" s="19" t="s">
        <v>145</v>
      </c>
      <c r="D22" s="20" t="s">
        <v>146</v>
      </c>
      <c r="E22" s="21">
        <v>130000</v>
      </c>
      <c r="F22" s="20" t="s">
        <v>21</v>
      </c>
      <c r="G22" s="20" t="s">
        <v>21</v>
      </c>
      <c r="H22" s="22" t="s">
        <v>110</v>
      </c>
      <c r="I22" s="23" t="s">
        <v>111</v>
      </c>
      <c r="J22" s="24" t="s">
        <v>134</v>
      </c>
      <c r="K22" s="25">
        <f t="shared" si="0"/>
        <v>45643</v>
      </c>
      <c r="L22" s="26" t="str">
        <f t="shared" si="1"/>
        <v>Dec 24</v>
      </c>
      <c r="M22" s="26" t="str">
        <f t="shared" si="2"/>
        <v>2024</v>
      </c>
      <c r="N22" s="23" t="s">
        <v>135</v>
      </c>
      <c r="O22" s="25">
        <f t="shared" si="6"/>
        <v>45667</v>
      </c>
      <c r="P22" s="27">
        <f t="shared" si="4"/>
        <v>0</v>
      </c>
      <c r="Q22" s="27">
        <f t="shared" si="5"/>
        <v>1</v>
      </c>
      <c r="R22" s="28" t="s">
        <v>22</v>
      </c>
      <c r="S22" s="21">
        <v>13467.6</v>
      </c>
      <c r="T22" s="18" t="s">
        <v>23</v>
      </c>
      <c r="U22" s="14"/>
    </row>
    <row r="23" spans="1:21" x14ac:dyDescent="0.2">
      <c r="A23" s="17">
        <v>21</v>
      </c>
      <c r="B23" s="18" t="s">
        <v>147</v>
      </c>
      <c r="C23" s="18" t="s">
        <v>148</v>
      </c>
      <c r="D23" s="20" t="s">
        <v>149</v>
      </c>
      <c r="E23" s="21">
        <v>50000</v>
      </c>
      <c r="F23" s="20" t="s">
        <v>21</v>
      </c>
      <c r="G23" s="20" t="s">
        <v>21</v>
      </c>
      <c r="H23" s="22" t="s">
        <v>150</v>
      </c>
      <c r="I23" s="23" t="s">
        <v>151</v>
      </c>
      <c r="J23" s="24" t="s">
        <v>152</v>
      </c>
      <c r="K23" s="25">
        <f t="shared" si="0"/>
        <v>45659</v>
      </c>
      <c r="L23" s="26" t="str">
        <f t="shared" si="1"/>
        <v>Jan 25</v>
      </c>
      <c r="M23" s="26" t="str">
        <f t="shared" si="2"/>
        <v>2025</v>
      </c>
      <c r="N23" s="23" t="s">
        <v>142</v>
      </c>
      <c r="O23" s="25">
        <f t="shared" si="6"/>
        <v>45665</v>
      </c>
      <c r="P23" s="27">
        <f t="shared" si="4"/>
        <v>0</v>
      </c>
      <c r="Q23" s="27">
        <f t="shared" si="5"/>
        <v>0</v>
      </c>
      <c r="R23" s="28" t="s">
        <v>22</v>
      </c>
      <c r="S23" s="21">
        <v>11160</v>
      </c>
      <c r="T23" s="18" t="s">
        <v>23</v>
      </c>
      <c r="U23" s="14"/>
    </row>
    <row r="24" spans="1:21" x14ac:dyDescent="0.2">
      <c r="A24" s="17">
        <v>22</v>
      </c>
      <c r="B24" s="18" t="s">
        <v>153</v>
      </c>
      <c r="C24" s="18" t="s">
        <v>154</v>
      </c>
      <c r="D24" s="20" t="s">
        <v>155</v>
      </c>
      <c r="E24" s="21">
        <v>110000</v>
      </c>
      <c r="F24" s="20" t="s">
        <v>21</v>
      </c>
      <c r="G24" s="20" t="s">
        <v>21</v>
      </c>
      <c r="H24" s="22" t="s">
        <v>156</v>
      </c>
      <c r="I24" s="23" t="s">
        <v>98</v>
      </c>
      <c r="J24" s="24" t="s">
        <v>157</v>
      </c>
      <c r="K24" s="25">
        <f t="shared" si="0"/>
        <v>45646</v>
      </c>
      <c r="L24" s="26" t="str">
        <f t="shared" si="1"/>
        <v>Dec 24</v>
      </c>
      <c r="M24" s="26" t="str">
        <f t="shared" si="2"/>
        <v>2024</v>
      </c>
      <c r="N24" s="23" t="s">
        <v>120</v>
      </c>
      <c r="O24" s="25">
        <f t="shared" si="6"/>
        <v>45660</v>
      </c>
      <c r="P24" s="27">
        <f t="shared" si="4"/>
        <v>0</v>
      </c>
      <c r="Q24" s="27">
        <f t="shared" si="5"/>
        <v>1</v>
      </c>
      <c r="R24" s="28" t="s">
        <v>22</v>
      </c>
      <c r="S24" s="21">
        <v>3000</v>
      </c>
      <c r="T24" s="18" t="s">
        <v>23</v>
      </c>
      <c r="U24" s="14"/>
    </row>
    <row r="25" spans="1:21" x14ac:dyDescent="0.2">
      <c r="A25" s="17">
        <v>23</v>
      </c>
      <c r="B25" s="18" t="s">
        <v>158</v>
      </c>
      <c r="C25" s="18" t="s">
        <v>159</v>
      </c>
      <c r="D25" s="20" t="s">
        <v>160</v>
      </c>
      <c r="E25" s="21">
        <v>150000</v>
      </c>
      <c r="F25" s="20" t="s">
        <v>21</v>
      </c>
      <c r="G25" s="20" t="s">
        <v>21</v>
      </c>
      <c r="H25" s="22" t="s">
        <v>161</v>
      </c>
      <c r="I25" s="23" t="s">
        <v>135</v>
      </c>
      <c r="J25" s="24" t="s">
        <v>162</v>
      </c>
      <c r="K25" s="25">
        <f t="shared" si="0"/>
        <v>45651</v>
      </c>
      <c r="L25" s="26" t="str">
        <f t="shared" si="1"/>
        <v>Dec 24</v>
      </c>
      <c r="M25" s="26" t="str">
        <f t="shared" si="2"/>
        <v>2024</v>
      </c>
      <c r="N25" s="23" t="s">
        <v>142</v>
      </c>
      <c r="O25" s="25">
        <f t="shared" si="6"/>
        <v>45665</v>
      </c>
      <c r="P25" s="27">
        <f t="shared" si="4"/>
        <v>0</v>
      </c>
      <c r="Q25" s="27">
        <f t="shared" si="5"/>
        <v>1</v>
      </c>
      <c r="R25" s="28" t="s">
        <v>22</v>
      </c>
      <c r="S25" s="21">
        <v>34769.25</v>
      </c>
      <c r="T25" s="18" t="s">
        <v>23</v>
      </c>
      <c r="U25" s="14"/>
    </row>
    <row r="26" spans="1:21" x14ac:dyDescent="0.2">
      <c r="A26" s="17">
        <v>24</v>
      </c>
      <c r="B26" s="18" t="s">
        <v>163</v>
      </c>
      <c r="C26" s="18" t="s">
        <v>164</v>
      </c>
      <c r="D26" s="20" t="s">
        <v>165</v>
      </c>
      <c r="E26" s="21">
        <v>150000</v>
      </c>
      <c r="F26" s="20" t="s">
        <v>21</v>
      </c>
      <c r="G26" s="20" t="s">
        <v>21</v>
      </c>
      <c r="H26" s="22" t="s">
        <v>166</v>
      </c>
      <c r="I26" s="23" t="s">
        <v>167</v>
      </c>
      <c r="J26" s="24" t="s">
        <v>98</v>
      </c>
      <c r="K26" s="25">
        <f t="shared" si="0"/>
        <v>45657</v>
      </c>
      <c r="L26" s="26" t="str">
        <f t="shared" si="1"/>
        <v>Dec 24</v>
      </c>
      <c r="M26" s="26" t="str">
        <f t="shared" si="2"/>
        <v>2024</v>
      </c>
      <c r="N26" s="23" t="s">
        <v>120</v>
      </c>
      <c r="O26" s="25">
        <f t="shared" si="6"/>
        <v>45660</v>
      </c>
      <c r="P26" s="27">
        <f t="shared" si="4"/>
        <v>0</v>
      </c>
      <c r="Q26" s="27">
        <f t="shared" si="5"/>
        <v>1</v>
      </c>
      <c r="R26" s="28" t="s">
        <v>22</v>
      </c>
      <c r="S26" s="21">
        <v>4320</v>
      </c>
      <c r="T26" s="18" t="s">
        <v>23</v>
      </c>
      <c r="U26" s="14"/>
    </row>
    <row r="27" spans="1:21" x14ac:dyDescent="0.2">
      <c r="A27" s="17">
        <v>25</v>
      </c>
      <c r="B27" s="18" t="s">
        <v>168</v>
      </c>
      <c r="C27" s="18" t="s">
        <v>169</v>
      </c>
      <c r="D27" s="20" t="s">
        <v>170</v>
      </c>
      <c r="E27" s="21">
        <v>80000</v>
      </c>
      <c r="F27" s="20" t="s">
        <v>21</v>
      </c>
      <c r="G27" s="20" t="s">
        <v>21</v>
      </c>
      <c r="H27" s="22" t="s">
        <v>171</v>
      </c>
      <c r="I27" s="23" t="s">
        <v>172</v>
      </c>
      <c r="J27" s="24" t="s">
        <v>173</v>
      </c>
      <c r="K27" s="25">
        <f t="shared" si="0"/>
        <v>45662</v>
      </c>
      <c r="L27" s="26" t="str">
        <f t="shared" si="1"/>
        <v>Jan 25</v>
      </c>
      <c r="M27" s="26" t="str">
        <f t="shared" si="2"/>
        <v>2025</v>
      </c>
      <c r="N27" s="23" t="s">
        <v>135</v>
      </c>
      <c r="O27" s="25">
        <f t="shared" si="6"/>
        <v>45667</v>
      </c>
      <c r="P27" s="27">
        <f t="shared" si="4"/>
        <v>0</v>
      </c>
      <c r="Q27" s="27">
        <f t="shared" si="5"/>
        <v>0</v>
      </c>
      <c r="R27" s="28" t="s">
        <v>22</v>
      </c>
      <c r="S27" s="21">
        <v>2700</v>
      </c>
      <c r="T27" s="18" t="s">
        <v>23</v>
      </c>
      <c r="U27" s="14"/>
    </row>
    <row r="28" spans="1:21" x14ac:dyDescent="0.2">
      <c r="A28" s="17">
        <v>26</v>
      </c>
      <c r="B28" s="18" t="s">
        <v>174</v>
      </c>
      <c r="C28" s="18" t="s">
        <v>175</v>
      </c>
      <c r="D28" s="20" t="s">
        <v>176</v>
      </c>
      <c r="E28" s="21">
        <v>70000</v>
      </c>
      <c r="F28" s="20" t="s">
        <v>21</v>
      </c>
      <c r="G28" s="20" t="s">
        <v>21</v>
      </c>
      <c r="H28" s="22" t="s">
        <v>177</v>
      </c>
      <c r="I28" s="23" t="s">
        <v>98</v>
      </c>
      <c r="J28" s="24" t="s">
        <v>178</v>
      </c>
      <c r="K28" s="25">
        <f t="shared" si="0"/>
        <v>359</v>
      </c>
      <c r="L28" s="26" t="str">
        <f t="shared" si="1"/>
        <v>Dec 00</v>
      </c>
      <c r="M28" s="26" t="str">
        <f t="shared" si="2"/>
        <v>1900</v>
      </c>
      <c r="N28" s="23">
        <v>9.0120249999999995</v>
      </c>
      <c r="O28" s="25">
        <f t="shared" si="6"/>
        <v>46000</v>
      </c>
      <c r="P28" s="27">
        <f t="shared" si="4"/>
        <v>1499</v>
      </c>
      <c r="Q28" s="27">
        <f t="shared" si="5"/>
        <v>125</v>
      </c>
      <c r="R28" s="28" t="s">
        <v>22</v>
      </c>
      <c r="S28" s="21">
        <v>30343.5</v>
      </c>
      <c r="T28" s="18" t="s">
        <v>23</v>
      </c>
      <c r="U28" s="14"/>
    </row>
    <row r="29" spans="1:21" x14ac:dyDescent="0.2">
      <c r="A29" s="17">
        <v>27</v>
      </c>
      <c r="B29" s="18" t="s">
        <v>179</v>
      </c>
      <c r="C29" s="18" t="s">
        <v>180</v>
      </c>
      <c r="D29" s="20" t="s">
        <v>181</v>
      </c>
      <c r="E29" s="21">
        <v>50000</v>
      </c>
      <c r="F29" s="20"/>
      <c r="G29" s="20" t="s">
        <v>21</v>
      </c>
      <c r="H29" s="22" t="s">
        <v>177</v>
      </c>
      <c r="I29" s="23" t="s">
        <v>98</v>
      </c>
      <c r="J29" s="24" t="s">
        <v>182</v>
      </c>
      <c r="K29" s="25">
        <f t="shared" si="0"/>
        <v>45640</v>
      </c>
      <c r="L29" s="26" t="str">
        <f t="shared" si="1"/>
        <v>Dec 24</v>
      </c>
      <c r="M29" s="26" t="str">
        <f t="shared" si="2"/>
        <v>2024</v>
      </c>
      <c r="N29" s="23" t="s">
        <v>183</v>
      </c>
      <c r="O29" s="25">
        <f t="shared" si="6"/>
        <v>45642</v>
      </c>
      <c r="P29" s="27">
        <f t="shared" si="4"/>
        <v>0</v>
      </c>
      <c r="Q29" s="27">
        <f t="shared" si="5"/>
        <v>0</v>
      </c>
      <c r="R29" s="28" t="s">
        <v>22</v>
      </c>
      <c r="S29" s="21">
        <v>45000</v>
      </c>
      <c r="T29" s="18" t="s">
        <v>23</v>
      </c>
      <c r="U29" s="14"/>
    </row>
    <row r="30" spans="1:21" x14ac:dyDescent="0.2">
      <c r="A30" s="17">
        <v>28</v>
      </c>
      <c r="B30" s="18" t="s">
        <v>38</v>
      </c>
      <c r="C30" s="18" t="s">
        <v>184</v>
      </c>
      <c r="D30" s="20" t="s">
        <v>185</v>
      </c>
      <c r="E30" s="21">
        <v>100000</v>
      </c>
      <c r="F30" s="20" t="s">
        <v>21</v>
      </c>
      <c r="G30" s="20" t="s">
        <v>21</v>
      </c>
      <c r="H30" s="22" t="s">
        <v>186</v>
      </c>
      <c r="I30" s="23" t="s">
        <v>34</v>
      </c>
      <c r="J30" s="24" t="s">
        <v>187</v>
      </c>
      <c r="K30" s="25">
        <f t="shared" si="0"/>
        <v>45652</v>
      </c>
      <c r="L30" s="26" t="str">
        <f t="shared" si="1"/>
        <v>Dec 24</v>
      </c>
      <c r="M30" s="26" t="str">
        <f t="shared" si="2"/>
        <v>2024</v>
      </c>
      <c r="N30" s="23" t="s">
        <v>188</v>
      </c>
      <c r="O30" s="25">
        <f t="shared" si="6"/>
        <v>45663</v>
      </c>
      <c r="P30" s="27">
        <f t="shared" si="4"/>
        <v>0</v>
      </c>
      <c r="Q30" s="27">
        <f t="shared" si="5"/>
        <v>1</v>
      </c>
      <c r="R30" s="28" t="s">
        <v>22</v>
      </c>
      <c r="S30" s="21">
        <v>3600</v>
      </c>
      <c r="T30" s="18" t="s">
        <v>23</v>
      </c>
      <c r="U30" s="14"/>
    </row>
    <row r="31" spans="1:21" x14ac:dyDescent="0.2">
      <c r="A31" s="17">
        <v>29</v>
      </c>
      <c r="B31" s="18" t="s">
        <v>189</v>
      </c>
      <c r="C31" s="18" t="s">
        <v>190</v>
      </c>
      <c r="D31" s="20" t="s">
        <v>191</v>
      </c>
      <c r="E31" s="21">
        <v>120000</v>
      </c>
      <c r="F31" s="20" t="s">
        <v>21</v>
      </c>
      <c r="G31" s="20" t="s">
        <v>21</v>
      </c>
      <c r="H31" s="22" t="s">
        <v>192</v>
      </c>
      <c r="I31" s="23" t="s">
        <v>98</v>
      </c>
      <c r="J31" s="24" t="s">
        <v>193</v>
      </c>
      <c r="K31" s="25">
        <f t="shared" si="0"/>
        <v>45600</v>
      </c>
      <c r="L31" s="26" t="str">
        <f t="shared" si="1"/>
        <v>Nov 24</v>
      </c>
      <c r="M31" s="26" t="str">
        <f t="shared" si="2"/>
        <v>2024</v>
      </c>
      <c r="N31" s="23" t="s">
        <v>194</v>
      </c>
      <c r="O31" s="25">
        <f t="shared" si="6"/>
        <v>45669</v>
      </c>
      <c r="P31" s="27">
        <f t="shared" si="4"/>
        <v>2</v>
      </c>
      <c r="Q31" s="27">
        <f t="shared" si="5"/>
        <v>1</v>
      </c>
      <c r="R31" s="28" t="s">
        <v>22</v>
      </c>
      <c r="S31" s="21">
        <v>103500</v>
      </c>
      <c r="T31" s="18" t="s">
        <v>23</v>
      </c>
      <c r="U31" s="14"/>
    </row>
    <row r="32" spans="1:21" x14ac:dyDescent="0.2">
      <c r="A32" s="17">
        <v>30</v>
      </c>
      <c r="B32" s="18" t="s">
        <v>195</v>
      </c>
      <c r="C32" s="18" t="s">
        <v>196</v>
      </c>
      <c r="D32" s="20" t="s">
        <v>197</v>
      </c>
      <c r="E32" s="21">
        <v>500000</v>
      </c>
      <c r="F32" s="20" t="s">
        <v>21</v>
      </c>
      <c r="G32" s="20" t="s">
        <v>21</v>
      </c>
      <c r="H32" s="22" t="s">
        <v>198</v>
      </c>
      <c r="I32" s="23" t="s">
        <v>199</v>
      </c>
      <c r="J32" s="24" t="s">
        <v>98</v>
      </c>
      <c r="K32" s="25">
        <f t="shared" si="0"/>
        <v>45657</v>
      </c>
      <c r="L32" s="26" t="str">
        <f t="shared" si="1"/>
        <v>Dec 24</v>
      </c>
      <c r="M32" s="26" t="str">
        <f t="shared" si="2"/>
        <v>2024</v>
      </c>
      <c r="N32" s="23" t="s">
        <v>152</v>
      </c>
      <c r="O32" s="25">
        <f t="shared" si="6"/>
        <v>45659</v>
      </c>
      <c r="P32" s="27">
        <f t="shared" si="4"/>
        <v>0</v>
      </c>
      <c r="Q32" s="27">
        <f t="shared" si="5"/>
        <v>1</v>
      </c>
      <c r="R32" s="28" t="s">
        <v>22</v>
      </c>
      <c r="S32" s="21">
        <v>179834.43</v>
      </c>
      <c r="T32" s="18" t="s">
        <v>23</v>
      </c>
      <c r="U32" s="14"/>
    </row>
    <row r="33" spans="1:21" x14ac:dyDescent="0.2">
      <c r="A33" s="17">
        <v>31</v>
      </c>
      <c r="B33" s="18" t="s">
        <v>200</v>
      </c>
      <c r="C33" s="19" t="s">
        <v>201</v>
      </c>
      <c r="D33" s="20" t="s">
        <v>202</v>
      </c>
      <c r="E33" s="21">
        <v>60000</v>
      </c>
      <c r="F33" s="20" t="s">
        <v>21</v>
      </c>
      <c r="G33" s="20" t="s">
        <v>21</v>
      </c>
      <c r="H33" s="22" t="s">
        <v>110</v>
      </c>
      <c r="I33" s="23" t="s">
        <v>111</v>
      </c>
      <c r="J33" s="24" t="s">
        <v>128</v>
      </c>
      <c r="K33" s="25">
        <f t="shared" si="0"/>
        <v>45664</v>
      </c>
      <c r="L33" s="26" t="str">
        <f t="shared" si="1"/>
        <v>Jan 25</v>
      </c>
      <c r="M33" s="26" t="str">
        <f t="shared" si="2"/>
        <v>2025</v>
      </c>
      <c r="N33" s="23" t="s">
        <v>203</v>
      </c>
      <c r="O33" s="25">
        <f t="shared" si="6"/>
        <v>45674</v>
      </c>
      <c r="P33" s="27">
        <f t="shared" si="4"/>
        <v>0</v>
      </c>
      <c r="Q33" s="27">
        <f t="shared" si="5"/>
        <v>0</v>
      </c>
      <c r="R33" s="28" t="s">
        <v>22</v>
      </c>
      <c r="S33" s="21">
        <v>17006.759999999998</v>
      </c>
      <c r="T33" s="18" t="s">
        <v>23</v>
      </c>
      <c r="U33" s="14"/>
    </row>
    <row r="34" spans="1:21" x14ac:dyDescent="0.2">
      <c r="A34" s="17">
        <v>32</v>
      </c>
      <c r="B34" s="18" t="s">
        <v>200</v>
      </c>
      <c r="C34" s="18" t="s">
        <v>201</v>
      </c>
      <c r="D34" s="20" t="s">
        <v>202</v>
      </c>
      <c r="E34" s="21">
        <v>60000</v>
      </c>
      <c r="F34" s="20" t="s">
        <v>21</v>
      </c>
      <c r="G34" s="20" t="s">
        <v>21</v>
      </c>
      <c r="H34" s="22" t="s">
        <v>110</v>
      </c>
      <c r="I34" s="23" t="s">
        <v>111</v>
      </c>
      <c r="J34" s="24" t="s">
        <v>128</v>
      </c>
      <c r="K34" s="25">
        <f t="shared" si="0"/>
        <v>45664</v>
      </c>
      <c r="L34" s="26" t="str">
        <f t="shared" si="1"/>
        <v>Jan 25</v>
      </c>
      <c r="M34" s="26" t="str">
        <f t="shared" si="2"/>
        <v>2025</v>
      </c>
      <c r="N34" s="23" t="s">
        <v>203</v>
      </c>
      <c r="O34" s="25">
        <f t="shared" si="6"/>
        <v>45674</v>
      </c>
      <c r="P34" s="27">
        <f t="shared" si="4"/>
        <v>0</v>
      </c>
      <c r="Q34" s="27">
        <f t="shared" si="5"/>
        <v>0</v>
      </c>
      <c r="R34" s="28" t="s">
        <v>22</v>
      </c>
      <c r="S34" s="21">
        <v>17006.759999999998</v>
      </c>
      <c r="T34" s="18" t="s">
        <v>23</v>
      </c>
      <c r="U34" s="14"/>
    </row>
    <row r="35" spans="1:21" x14ac:dyDescent="0.2">
      <c r="A35" s="17">
        <v>33</v>
      </c>
      <c r="B35" s="18" t="s">
        <v>204</v>
      </c>
      <c r="C35" s="18" t="s">
        <v>205</v>
      </c>
      <c r="D35" s="20" t="s">
        <v>206</v>
      </c>
      <c r="E35" s="21">
        <v>100000</v>
      </c>
      <c r="F35" s="20" t="s">
        <v>21</v>
      </c>
      <c r="G35" s="20" t="s">
        <v>21</v>
      </c>
      <c r="H35" s="22" t="s">
        <v>110</v>
      </c>
      <c r="I35" s="23" t="s">
        <v>111</v>
      </c>
      <c r="J35" s="24" t="s">
        <v>135</v>
      </c>
      <c r="K35" s="25">
        <f t="shared" si="0"/>
        <v>45667</v>
      </c>
      <c r="L35" s="26" t="str">
        <f t="shared" si="1"/>
        <v>Jan 25</v>
      </c>
      <c r="M35" s="26" t="str">
        <f t="shared" si="2"/>
        <v>2025</v>
      </c>
      <c r="N35" s="23" t="s">
        <v>207</v>
      </c>
      <c r="O35" s="25">
        <f t="shared" si="6"/>
        <v>45682</v>
      </c>
      <c r="P35" s="27">
        <f t="shared" si="4"/>
        <v>0</v>
      </c>
      <c r="Q35" s="27">
        <f t="shared" si="5"/>
        <v>0</v>
      </c>
      <c r="R35" s="28" t="s">
        <v>22</v>
      </c>
      <c r="S35" s="21">
        <v>14400</v>
      </c>
      <c r="T35" s="18" t="s">
        <v>23</v>
      </c>
      <c r="U35" s="14"/>
    </row>
    <row r="36" spans="1:21" x14ac:dyDescent="0.2">
      <c r="A36" s="17">
        <v>34</v>
      </c>
      <c r="B36" s="18" t="s">
        <v>208</v>
      </c>
      <c r="C36" s="18" t="s">
        <v>209</v>
      </c>
      <c r="D36" s="20" t="s">
        <v>210</v>
      </c>
      <c r="E36" s="21">
        <v>550000</v>
      </c>
      <c r="F36" s="20" t="s">
        <v>21</v>
      </c>
      <c r="G36" s="20" t="s">
        <v>21</v>
      </c>
      <c r="H36" s="22" t="s">
        <v>110</v>
      </c>
      <c r="I36" s="23" t="s">
        <v>111</v>
      </c>
      <c r="J36" s="24" t="s">
        <v>211</v>
      </c>
      <c r="K36" s="25">
        <f t="shared" si="0"/>
        <v>45976</v>
      </c>
      <c r="L36" s="26" t="str">
        <f t="shared" si="1"/>
        <v>Nov 25</v>
      </c>
      <c r="M36" s="26" t="str">
        <f t="shared" si="2"/>
        <v>2025</v>
      </c>
      <c r="N36" s="23" t="s">
        <v>212</v>
      </c>
      <c r="O36" s="25">
        <f t="shared" si="6"/>
        <v>45684</v>
      </c>
      <c r="P36" s="27" t="e">
        <f t="shared" si="4"/>
        <v>#NUM!</v>
      </c>
      <c r="Q36" s="27">
        <f t="shared" si="5"/>
        <v>0</v>
      </c>
      <c r="R36" s="28" t="s">
        <v>22</v>
      </c>
      <c r="S36" s="21">
        <v>39700</v>
      </c>
      <c r="T36" s="18" t="s">
        <v>23</v>
      </c>
      <c r="U36" s="14"/>
    </row>
    <row r="37" spans="1:21" x14ac:dyDescent="0.2">
      <c r="A37" s="17">
        <v>35</v>
      </c>
      <c r="B37" s="18" t="s">
        <v>213</v>
      </c>
      <c r="C37" s="19" t="s">
        <v>214</v>
      </c>
      <c r="D37" s="20" t="s">
        <v>215</v>
      </c>
      <c r="E37" s="21">
        <v>140000</v>
      </c>
      <c r="F37" s="20" t="s">
        <v>21</v>
      </c>
      <c r="G37" s="20" t="s">
        <v>21</v>
      </c>
      <c r="H37" s="22" t="s">
        <v>110</v>
      </c>
      <c r="I37" s="23" t="s">
        <v>111</v>
      </c>
      <c r="J37" s="24" t="s">
        <v>99</v>
      </c>
      <c r="K37" s="25">
        <f t="shared" si="0"/>
        <v>45677</v>
      </c>
      <c r="L37" s="26" t="str">
        <f t="shared" si="1"/>
        <v>Jan 25</v>
      </c>
      <c r="M37" s="26" t="str">
        <f t="shared" si="2"/>
        <v>2025</v>
      </c>
      <c r="N37" s="23" t="s">
        <v>212</v>
      </c>
      <c r="O37" s="25">
        <f t="shared" si="6"/>
        <v>45684</v>
      </c>
      <c r="P37" s="27">
        <f t="shared" si="4"/>
        <v>0</v>
      </c>
      <c r="Q37" s="27">
        <f t="shared" si="5"/>
        <v>0</v>
      </c>
      <c r="R37" s="28" t="s">
        <v>22</v>
      </c>
      <c r="S37" s="21">
        <v>8010</v>
      </c>
      <c r="T37" s="18" t="s">
        <v>23</v>
      </c>
      <c r="U37" s="14"/>
    </row>
    <row r="38" spans="1:21" x14ac:dyDescent="0.2">
      <c r="A38" s="17">
        <v>36</v>
      </c>
      <c r="B38" s="18" t="s">
        <v>216</v>
      </c>
      <c r="C38" s="18" t="s">
        <v>217</v>
      </c>
      <c r="D38" s="20" t="s">
        <v>218</v>
      </c>
      <c r="E38" s="21">
        <v>100000</v>
      </c>
      <c r="F38" s="20" t="s">
        <v>21</v>
      </c>
      <c r="G38" s="20" t="s">
        <v>21</v>
      </c>
      <c r="H38" s="22" t="s">
        <v>140</v>
      </c>
      <c r="I38" s="23" t="s">
        <v>141</v>
      </c>
      <c r="J38" s="24" t="s">
        <v>140</v>
      </c>
      <c r="K38" s="25">
        <f t="shared" si="0"/>
        <v>45658</v>
      </c>
      <c r="L38" s="26" t="str">
        <f t="shared" si="1"/>
        <v>Jan 25</v>
      </c>
      <c r="M38" s="26" t="str">
        <f t="shared" si="2"/>
        <v>2025</v>
      </c>
      <c r="N38" s="23" t="s">
        <v>219</v>
      </c>
      <c r="O38" s="25">
        <f t="shared" si="6"/>
        <v>45671</v>
      </c>
      <c r="P38" s="27">
        <f t="shared" si="4"/>
        <v>0</v>
      </c>
      <c r="Q38" s="27">
        <f t="shared" si="5"/>
        <v>0</v>
      </c>
      <c r="R38" s="28" t="s">
        <v>22</v>
      </c>
      <c r="S38" s="21">
        <v>4071.6</v>
      </c>
      <c r="T38" s="18" t="s">
        <v>23</v>
      </c>
      <c r="U38" s="14"/>
    </row>
    <row r="39" spans="1:21" x14ac:dyDescent="0.2">
      <c r="A39" s="17">
        <v>37</v>
      </c>
      <c r="B39" s="18" t="s">
        <v>220</v>
      </c>
      <c r="C39" s="18" t="s">
        <v>221</v>
      </c>
      <c r="D39" s="20" t="s">
        <v>222</v>
      </c>
      <c r="E39" s="21">
        <v>300000</v>
      </c>
      <c r="F39" s="20" t="s">
        <v>21</v>
      </c>
      <c r="G39" s="20" t="s">
        <v>21</v>
      </c>
      <c r="H39" s="22" t="s">
        <v>110</v>
      </c>
      <c r="I39" s="23" t="s">
        <v>111</v>
      </c>
      <c r="J39" s="24" t="s">
        <v>135</v>
      </c>
      <c r="K39" s="25">
        <f t="shared" si="0"/>
        <v>45667</v>
      </c>
      <c r="L39" s="26" t="str">
        <f t="shared" si="1"/>
        <v>Jan 25</v>
      </c>
      <c r="M39" s="26" t="str">
        <f t="shared" si="2"/>
        <v>2025</v>
      </c>
      <c r="N39" s="23" t="s">
        <v>212</v>
      </c>
      <c r="O39" s="25">
        <f t="shared" si="6"/>
        <v>45684</v>
      </c>
      <c r="P39" s="27">
        <f t="shared" si="4"/>
        <v>0</v>
      </c>
      <c r="Q39" s="27">
        <f t="shared" si="5"/>
        <v>0</v>
      </c>
      <c r="R39" s="28" t="s">
        <v>22</v>
      </c>
      <c r="S39" s="21">
        <v>30150</v>
      </c>
      <c r="T39" s="18" t="s">
        <v>23</v>
      </c>
      <c r="U39" s="14"/>
    </row>
    <row r="40" spans="1:21" x14ac:dyDescent="0.2">
      <c r="A40" s="17">
        <v>38</v>
      </c>
      <c r="B40" s="18" t="s">
        <v>223</v>
      </c>
      <c r="C40" s="18" t="s">
        <v>224</v>
      </c>
      <c r="D40" s="20" t="s">
        <v>225</v>
      </c>
      <c r="E40" s="21">
        <v>70000</v>
      </c>
      <c r="F40" s="20" t="s">
        <v>226</v>
      </c>
      <c r="G40" s="20" t="s">
        <v>21</v>
      </c>
      <c r="H40" s="22" t="s">
        <v>227</v>
      </c>
      <c r="I40" s="23" t="s">
        <v>228</v>
      </c>
      <c r="J40" s="24" t="s">
        <v>229</v>
      </c>
      <c r="K40" s="25">
        <f t="shared" si="0"/>
        <v>45678</v>
      </c>
      <c r="L40" s="26" t="str">
        <f t="shared" si="1"/>
        <v>Jan 25</v>
      </c>
      <c r="M40" s="26" t="str">
        <f t="shared" si="2"/>
        <v>2025</v>
      </c>
      <c r="N40" s="23" t="s">
        <v>230</v>
      </c>
      <c r="O40" s="25">
        <f t="shared" si="6"/>
        <v>45715</v>
      </c>
      <c r="P40" s="27">
        <f t="shared" si="4"/>
        <v>1</v>
      </c>
      <c r="Q40" s="27">
        <f t="shared" si="5"/>
        <v>0</v>
      </c>
      <c r="R40" s="28" t="s">
        <v>22</v>
      </c>
      <c r="S40" s="21">
        <v>14607</v>
      </c>
      <c r="T40" s="18" t="s">
        <v>23</v>
      </c>
      <c r="U40" s="14"/>
    </row>
    <row r="41" spans="1:21" x14ac:dyDescent="0.2">
      <c r="A41" s="17">
        <v>39</v>
      </c>
      <c r="B41" s="18" t="s">
        <v>223</v>
      </c>
      <c r="C41" s="18" t="s">
        <v>224</v>
      </c>
      <c r="D41" s="20" t="s">
        <v>225</v>
      </c>
      <c r="E41" s="21">
        <v>70000</v>
      </c>
      <c r="F41" s="20" t="s">
        <v>226</v>
      </c>
      <c r="G41" s="20" t="s">
        <v>21</v>
      </c>
      <c r="H41" s="22" t="s">
        <v>227</v>
      </c>
      <c r="I41" s="23" t="s">
        <v>228</v>
      </c>
      <c r="J41" s="24" t="s">
        <v>229</v>
      </c>
      <c r="K41" s="25">
        <f t="shared" si="0"/>
        <v>45678</v>
      </c>
      <c r="L41" s="26" t="str">
        <f t="shared" si="1"/>
        <v>Jan 25</v>
      </c>
      <c r="M41" s="26" t="str">
        <f t="shared" si="2"/>
        <v>2025</v>
      </c>
      <c r="N41" s="23" t="s">
        <v>231</v>
      </c>
      <c r="O41" s="25">
        <f t="shared" si="6"/>
        <v>27</v>
      </c>
      <c r="P41" s="27" t="e">
        <f t="shared" si="4"/>
        <v>#NUM!</v>
      </c>
      <c r="Q41" s="27">
        <f t="shared" si="5"/>
        <v>-125</v>
      </c>
      <c r="R41" s="28" t="s">
        <v>22</v>
      </c>
      <c r="S41" s="21">
        <v>14607</v>
      </c>
      <c r="T41" s="18" t="s">
        <v>23</v>
      </c>
      <c r="U41" s="14"/>
    </row>
    <row r="42" spans="1:21" x14ac:dyDescent="0.2">
      <c r="A42" s="17">
        <v>40</v>
      </c>
      <c r="B42" s="18" t="s">
        <v>232</v>
      </c>
      <c r="C42" s="18" t="s">
        <v>233</v>
      </c>
      <c r="D42" s="20" t="s">
        <v>234</v>
      </c>
      <c r="E42" s="21">
        <v>150000</v>
      </c>
      <c r="F42" s="20" t="s">
        <v>21</v>
      </c>
      <c r="G42" s="20" t="s">
        <v>21</v>
      </c>
      <c r="H42" s="22" t="s">
        <v>235</v>
      </c>
      <c r="I42" s="23" t="s">
        <v>236</v>
      </c>
      <c r="J42" s="24" t="s">
        <v>237</v>
      </c>
      <c r="K42" s="25">
        <f t="shared" si="0"/>
        <v>45655</v>
      </c>
      <c r="L42" s="26" t="str">
        <f t="shared" si="1"/>
        <v>Dec 24</v>
      </c>
      <c r="M42" s="26" t="str">
        <f t="shared" si="2"/>
        <v>2024</v>
      </c>
      <c r="N42" s="23" t="s">
        <v>99</v>
      </c>
      <c r="O42" s="25">
        <f t="shared" si="6"/>
        <v>45677</v>
      </c>
      <c r="P42" s="27">
        <f t="shared" si="4"/>
        <v>0</v>
      </c>
      <c r="Q42" s="27">
        <f t="shared" si="5"/>
        <v>1</v>
      </c>
      <c r="R42" s="28" t="s">
        <v>22</v>
      </c>
      <c r="S42" s="21">
        <v>7519</v>
      </c>
      <c r="T42" s="18" t="s">
        <v>23</v>
      </c>
      <c r="U42" s="14"/>
    </row>
    <row r="43" spans="1:21" x14ac:dyDescent="0.2">
      <c r="A43" s="17">
        <v>41</v>
      </c>
      <c r="B43" s="18" t="s">
        <v>238</v>
      </c>
      <c r="C43" s="18" t="s">
        <v>239</v>
      </c>
      <c r="D43" s="20" t="s">
        <v>240</v>
      </c>
      <c r="E43" s="21">
        <v>20000</v>
      </c>
      <c r="F43" s="20" t="s">
        <v>21</v>
      </c>
      <c r="G43" s="20" t="s">
        <v>21</v>
      </c>
      <c r="H43" s="22" t="s">
        <v>241</v>
      </c>
      <c r="I43" s="23" t="s">
        <v>242</v>
      </c>
      <c r="J43" s="24" t="s">
        <v>98</v>
      </c>
      <c r="K43" s="25">
        <f t="shared" si="0"/>
        <v>45657</v>
      </c>
      <c r="L43" s="26" t="str">
        <f t="shared" si="1"/>
        <v>Dec 24</v>
      </c>
      <c r="M43" s="26" t="str">
        <f t="shared" si="2"/>
        <v>2024</v>
      </c>
      <c r="N43" s="23" t="s">
        <v>99</v>
      </c>
      <c r="O43" s="25">
        <f t="shared" si="6"/>
        <v>45677</v>
      </c>
      <c r="P43" s="27">
        <f t="shared" si="4"/>
        <v>0</v>
      </c>
      <c r="Q43" s="27">
        <f t="shared" si="5"/>
        <v>1</v>
      </c>
      <c r="R43" s="28" t="s">
        <v>22</v>
      </c>
      <c r="S43" s="21">
        <v>18000</v>
      </c>
      <c r="T43" s="18" t="s">
        <v>23</v>
      </c>
      <c r="U43" s="14"/>
    </row>
    <row r="44" spans="1:21" x14ac:dyDescent="0.2">
      <c r="A44" s="17">
        <v>42</v>
      </c>
      <c r="B44" s="18" t="s">
        <v>243</v>
      </c>
      <c r="C44" s="18" t="s">
        <v>244</v>
      </c>
      <c r="D44" s="20" t="s">
        <v>245</v>
      </c>
      <c r="E44" s="21">
        <v>50000</v>
      </c>
      <c r="F44" s="20" t="s">
        <v>21</v>
      </c>
      <c r="G44" s="20" t="s">
        <v>246</v>
      </c>
      <c r="H44" s="22" t="s">
        <v>247</v>
      </c>
      <c r="I44" s="23" t="s">
        <v>248</v>
      </c>
      <c r="J44" s="24" t="s">
        <v>140</v>
      </c>
      <c r="K44" s="25">
        <f t="shared" si="0"/>
        <v>45658</v>
      </c>
      <c r="L44" s="26" t="str">
        <f t="shared" si="1"/>
        <v>Jan 25</v>
      </c>
      <c r="M44" s="26" t="str">
        <f t="shared" si="2"/>
        <v>2025</v>
      </c>
      <c r="N44" s="23" t="s">
        <v>212</v>
      </c>
      <c r="O44" s="25">
        <f t="shared" si="6"/>
        <v>45684</v>
      </c>
      <c r="P44" s="27">
        <f t="shared" si="4"/>
        <v>0</v>
      </c>
      <c r="Q44" s="27">
        <f t="shared" si="5"/>
        <v>0</v>
      </c>
      <c r="R44" s="18" t="s">
        <v>22</v>
      </c>
      <c r="S44" s="21">
        <v>27719</v>
      </c>
      <c r="T44" s="18" t="s">
        <v>23</v>
      </c>
      <c r="U44" s="14"/>
    </row>
    <row r="45" spans="1:21" ht="28" x14ac:dyDescent="0.2">
      <c r="A45" s="17">
        <v>43</v>
      </c>
      <c r="B45" s="18" t="s">
        <v>249</v>
      </c>
      <c r="C45" s="19" t="s">
        <v>250</v>
      </c>
      <c r="D45" s="30" t="s">
        <v>251</v>
      </c>
      <c r="E45" s="31">
        <v>70000</v>
      </c>
      <c r="F45" s="31" t="s">
        <v>21</v>
      </c>
      <c r="G45" s="31" t="s">
        <v>21</v>
      </c>
      <c r="H45" s="32" t="s">
        <v>183</v>
      </c>
      <c r="I45" s="33" t="s">
        <v>36</v>
      </c>
      <c r="J45" s="24" t="s">
        <v>252</v>
      </c>
      <c r="K45" s="25">
        <f t="shared" si="0"/>
        <v>45683</v>
      </c>
      <c r="L45" s="26" t="str">
        <f t="shared" si="1"/>
        <v>Jan 25</v>
      </c>
      <c r="M45" s="26" t="str">
        <f t="shared" si="2"/>
        <v>2025</v>
      </c>
      <c r="N45" s="23" t="s">
        <v>253</v>
      </c>
      <c r="O45" s="25">
        <f t="shared" si="6"/>
        <v>45687</v>
      </c>
      <c r="P45" s="27">
        <f t="shared" si="4"/>
        <v>0</v>
      </c>
      <c r="Q45" s="27">
        <f t="shared" si="5"/>
        <v>0</v>
      </c>
      <c r="R45" s="28" t="s">
        <v>22</v>
      </c>
      <c r="S45" s="21">
        <v>33570</v>
      </c>
      <c r="T45" s="18" t="s">
        <v>23</v>
      </c>
      <c r="U45" s="14"/>
    </row>
    <row r="46" spans="1:21" x14ac:dyDescent="0.2">
      <c r="A46" s="17">
        <v>44</v>
      </c>
      <c r="B46" s="18" t="s">
        <v>254</v>
      </c>
      <c r="C46" s="28" t="s">
        <v>255</v>
      </c>
      <c r="D46" s="44" t="s">
        <v>256</v>
      </c>
      <c r="E46" s="21">
        <v>100000</v>
      </c>
      <c r="F46" s="20" t="s">
        <v>21</v>
      </c>
      <c r="G46" s="44" t="s">
        <v>21</v>
      </c>
      <c r="H46" s="45" t="s">
        <v>257</v>
      </c>
      <c r="I46" s="46" t="s">
        <v>258</v>
      </c>
      <c r="J46" s="35" t="s">
        <v>252</v>
      </c>
      <c r="K46" s="25">
        <f t="shared" si="0"/>
        <v>45683</v>
      </c>
      <c r="L46" s="26" t="str">
        <f t="shared" si="1"/>
        <v>Jan 25</v>
      </c>
      <c r="M46" s="26" t="str">
        <f t="shared" si="2"/>
        <v>2025</v>
      </c>
      <c r="N46" s="36" t="s">
        <v>253</v>
      </c>
      <c r="O46" s="25">
        <f t="shared" si="6"/>
        <v>45687</v>
      </c>
      <c r="P46" s="27">
        <f t="shared" si="4"/>
        <v>0</v>
      </c>
      <c r="Q46" s="27">
        <f t="shared" si="5"/>
        <v>0</v>
      </c>
      <c r="R46" s="47" t="s">
        <v>259</v>
      </c>
      <c r="S46" s="31">
        <v>22968</v>
      </c>
      <c r="T46" s="18" t="s">
        <v>23</v>
      </c>
      <c r="U46" s="14"/>
    </row>
    <row r="47" spans="1:21" x14ac:dyDescent="0.2">
      <c r="A47" s="17">
        <v>45</v>
      </c>
      <c r="B47" s="18" t="s">
        <v>260</v>
      </c>
      <c r="C47" s="18" t="s">
        <v>261</v>
      </c>
      <c r="D47" s="20" t="s">
        <v>262</v>
      </c>
      <c r="E47" s="21">
        <v>150000</v>
      </c>
      <c r="F47" s="20" t="s">
        <v>263</v>
      </c>
      <c r="G47" s="20" t="s">
        <v>21</v>
      </c>
      <c r="H47" s="22" t="s">
        <v>156</v>
      </c>
      <c r="I47" s="23" t="s">
        <v>98</v>
      </c>
      <c r="J47" s="48" t="s">
        <v>264</v>
      </c>
      <c r="K47" s="25">
        <f t="shared" si="0"/>
        <v>45656</v>
      </c>
      <c r="L47" s="26" t="str">
        <f t="shared" si="1"/>
        <v>Dec 24</v>
      </c>
      <c r="M47" s="26" t="str">
        <f t="shared" si="2"/>
        <v>2024</v>
      </c>
      <c r="N47" s="23" t="s">
        <v>265</v>
      </c>
      <c r="O47" s="25">
        <f t="shared" si="6"/>
        <v>45691</v>
      </c>
      <c r="P47" s="27">
        <f t="shared" si="4"/>
        <v>1</v>
      </c>
      <c r="Q47" s="27">
        <f t="shared" si="5"/>
        <v>1</v>
      </c>
      <c r="R47" s="28" t="s">
        <v>22</v>
      </c>
      <c r="S47" s="21">
        <v>20880</v>
      </c>
      <c r="T47" s="18" t="s">
        <v>23</v>
      </c>
      <c r="U47" s="14"/>
    </row>
    <row r="48" spans="1:21" x14ac:dyDescent="0.2">
      <c r="A48" s="17">
        <v>46</v>
      </c>
      <c r="B48" s="18" t="s">
        <v>266</v>
      </c>
      <c r="C48" s="18" t="s">
        <v>267</v>
      </c>
      <c r="D48" s="20" t="s">
        <v>268</v>
      </c>
      <c r="E48" s="21">
        <v>50000</v>
      </c>
      <c r="F48" s="20" t="s">
        <v>269</v>
      </c>
      <c r="G48" s="20" t="s">
        <v>21</v>
      </c>
      <c r="H48" s="22" t="s">
        <v>186</v>
      </c>
      <c r="I48" s="23" t="s">
        <v>34</v>
      </c>
      <c r="J48" s="24" t="s">
        <v>270</v>
      </c>
      <c r="K48" s="25">
        <f t="shared" si="0"/>
        <v>45654</v>
      </c>
      <c r="L48" s="26" t="str">
        <f t="shared" si="1"/>
        <v>Dec 24</v>
      </c>
      <c r="M48" s="26" t="str">
        <f t="shared" si="2"/>
        <v>2024</v>
      </c>
      <c r="N48" s="23" t="s">
        <v>271</v>
      </c>
      <c r="O48" s="25">
        <f t="shared" si="6"/>
        <v>45731</v>
      </c>
      <c r="P48" s="27">
        <f t="shared" si="4"/>
        <v>2</v>
      </c>
      <c r="Q48" s="27">
        <f t="shared" si="5"/>
        <v>1</v>
      </c>
      <c r="R48" s="28" t="s">
        <v>22</v>
      </c>
      <c r="S48" s="21">
        <v>45000</v>
      </c>
      <c r="T48" s="18" t="s">
        <v>23</v>
      </c>
      <c r="U48" s="14"/>
    </row>
    <row r="49" spans="1:21" x14ac:dyDescent="0.2">
      <c r="A49" s="17">
        <v>47</v>
      </c>
      <c r="B49" s="18" t="s">
        <v>272</v>
      </c>
      <c r="C49" s="19" t="s">
        <v>273</v>
      </c>
      <c r="D49" s="20" t="s">
        <v>274</v>
      </c>
      <c r="E49" s="21">
        <v>40000</v>
      </c>
      <c r="F49" s="20" t="s">
        <v>21</v>
      </c>
      <c r="G49" s="20" t="s">
        <v>21</v>
      </c>
      <c r="H49" s="22" t="s">
        <v>275</v>
      </c>
      <c r="I49" s="23" t="s">
        <v>276</v>
      </c>
      <c r="J49" s="24" t="s">
        <v>135</v>
      </c>
      <c r="K49" s="25">
        <f t="shared" si="0"/>
        <v>45667</v>
      </c>
      <c r="L49" s="26" t="str">
        <f t="shared" si="1"/>
        <v>Jan 25</v>
      </c>
      <c r="M49" s="26" t="str">
        <f t="shared" si="2"/>
        <v>2025</v>
      </c>
      <c r="N49" s="23" t="s">
        <v>99</v>
      </c>
      <c r="O49" s="25">
        <f t="shared" si="6"/>
        <v>45677</v>
      </c>
      <c r="P49" s="27">
        <f t="shared" si="4"/>
        <v>0</v>
      </c>
      <c r="Q49" s="27">
        <f t="shared" si="5"/>
        <v>0</v>
      </c>
      <c r="R49" s="28" t="s">
        <v>22</v>
      </c>
      <c r="S49" s="21">
        <v>3402</v>
      </c>
      <c r="T49" s="18" t="s">
        <v>23</v>
      </c>
      <c r="U49" s="14"/>
    </row>
    <row r="50" spans="1:21" x14ac:dyDescent="0.2">
      <c r="A50" s="17">
        <v>48</v>
      </c>
      <c r="B50" s="18" t="s">
        <v>277</v>
      </c>
      <c r="C50" s="19" t="s">
        <v>278</v>
      </c>
      <c r="D50" s="20" t="s">
        <v>279</v>
      </c>
      <c r="E50" s="21">
        <v>85000</v>
      </c>
      <c r="F50" s="20" t="s">
        <v>21</v>
      </c>
      <c r="G50" s="20" t="s">
        <v>21</v>
      </c>
      <c r="H50" s="22" t="s">
        <v>280</v>
      </c>
      <c r="I50" s="23" t="s">
        <v>281</v>
      </c>
      <c r="J50" s="24" t="s">
        <v>282</v>
      </c>
      <c r="K50" s="25">
        <f t="shared" si="0"/>
        <v>45623</v>
      </c>
      <c r="L50" s="26" t="str">
        <f t="shared" si="1"/>
        <v>Nov 24</v>
      </c>
      <c r="M50" s="26" t="str">
        <f t="shared" si="2"/>
        <v>2024</v>
      </c>
      <c r="N50" s="23" t="s">
        <v>283</v>
      </c>
      <c r="O50" s="25">
        <f t="shared" si="6"/>
        <v>45712</v>
      </c>
      <c r="P50" s="27">
        <f t="shared" si="4"/>
        <v>2</v>
      </c>
      <c r="Q50" s="27">
        <f t="shared" si="5"/>
        <v>1</v>
      </c>
      <c r="R50" s="28" t="s">
        <v>22</v>
      </c>
      <c r="S50" s="21">
        <v>13806</v>
      </c>
      <c r="T50" s="18" t="s">
        <v>23</v>
      </c>
      <c r="U50" s="14"/>
    </row>
    <row r="51" spans="1:21" x14ac:dyDescent="0.2">
      <c r="A51" s="17">
        <v>49</v>
      </c>
      <c r="B51" s="18" t="s">
        <v>284</v>
      </c>
      <c r="C51" s="18" t="s">
        <v>285</v>
      </c>
      <c r="D51" s="20" t="s">
        <v>286</v>
      </c>
      <c r="E51" s="21">
        <v>30000</v>
      </c>
      <c r="F51" s="20" t="s">
        <v>21</v>
      </c>
      <c r="G51" s="20" t="s">
        <v>21</v>
      </c>
      <c r="H51" s="22" t="s">
        <v>186</v>
      </c>
      <c r="I51" s="23" t="s">
        <v>34</v>
      </c>
      <c r="J51" s="24" t="s">
        <v>287</v>
      </c>
      <c r="K51" s="25">
        <f t="shared" si="0"/>
        <v>45591</v>
      </c>
      <c r="L51" s="26" t="str">
        <f t="shared" si="1"/>
        <v>Oct 24</v>
      </c>
      <c r="M51" s="26" t="str">
        <f t="shared" si="2"/>
        <v>2024</v>
      </c>
      <c r="N51" s="23" t="s">
        <v>288</v>
      </c>
      <c r="O51" s="25">
        <f t="shared" si="6"/>
        <v>45700</v>
      </c>
      <c r="P51" s="27">
        <f t="shared" si="4"/>
        <v>3</v>
      </c>
      <c r="Q51" s="27">
        <f t="shared" si="5"/>
        <v>1</v>
      </c>
      <c r="R51" s="28" t="s">
        <v>22</v>
      </c>
      <c r="S51" s="21">
        <v>16578</v>
      </c>
      <c r="T51" s="18" t="s">
        <v>23</v>
      </c>
      <c r="U51" s="14"/>
    </row>
    <row r="52" spans="1:21" x14ac:dyDescent="0.2">
      <c r="A52" s="17">
        <v>50</v>
      </c>
      <c r="B52" s="18" t="s">
        <v>289</v>
      </c>
      <c r="C52" s="18" t="s">
        <v>290</v>
      </c>
      <c r="D52" s="20" t="s">
        <v>291</v>
      </c>
      <c r="E52" s="21">
        <v>100000</v>
      </c>
      <c r="F52" s="20" t="s">
        <v>21</v>
      </c>
      <c r="G52" s="20" t="s">
        <v>21</v>
      </c>
      <c r="H52" s="22" t="s">
        <v>140</v>
      </c>
      <c r="I52" s="23" t="s">
        <v>141</v>
      </c>
      <c r="J52" s="24" t="s">
        <v>292</v>
      </c>
      <c r="K52" s="25">
        <f t="shared" si="0"/>
        <v>45675</v>
      </c>
      <c r="L52" s="26" t="str">
        <f t="shared" si="1"/>
        <v>Jan 25</v>
      </c>
      <c r="M52" s="26" t="str">
        <f t="shared" si="2"/>
        <v>2025</v>
      </c>
      <c r="N52" s="23" t="s">
        <v>293</v>
      </c>
      <c r="O52" s="25">
        <f t="shared" si="6"/>
        <v>45698</v>
      </c>
      <c r="P52" s="27">
        <f t="shared" si="4"/>
        <v>0</v>
      </c>
      <c r="Q52" s="27">
        <f t="shared" si="5"/>
        <v>0</v>
      </c>
      <c r="R52" s="28" t="s">
        <v>22</v>
      </c>
      <c r="S52" s="21">
        <v>18396</v>
      </c>
      <c r="T52" s="18" t="s">
        <v>23</v>
      </c>
      <c r="U52" s="14"/>
    </row>
    <row r="53" spans="1:21" x14ac:dyDescent="0.2">
      <c r="A53" s="17">
        <v>51</v>
      </c>
      <c r="B53" s="18" t="s">
        <v>294</v>
      </c>
      <c r="C53" s="18" t="s">
        <v>295</v>
      </c>
      <c r="D53" s="20" t="s">
        <v>296</v>
      </c>
      <c r="E53" s="21">
        <v>80000</v>
      </c>
      <c r="F53" s="20" t="s">
        <v>21</v>
      </c>
      <c r="G53" s="20" t="s">
        <v>21</v>
      </c>
      <c r="H53" s="22" t="s">
        <v>297</v>
      </c>
      <c r="I53" s="23" t="s">
        <v>298</v>
      </c>
      <c r="J53" s="24" t="s">
        <v>167</v>
      </c>
      <c r="K53" s="25">
        <f t="shared" si="0"/>
        <v>45688</v>
      </c>
      <c r="L53" s="26" t="str">
        <f t="shared" si="1"/>
        <v>Jan 25</v>
      </c>
      <c r="M53" s="26" t="str">
        <f t="shared" si="2"/>
        <v>2025</v>
      </c>
      <c r="N53" s="23" t="s">
        <v>112</v>
      </c>
      <c r="O53" s="25">
        <f t="shared" si="6"/>
        <v>45694</v>
      </c>
      <c r="P53" s="27">
        <f t="shared" si="4"/>
        <v>0</v>
      </c>
      <c r="Q53" s="27">
        <f t="shared" si="5"/>
        <v>0</v>
      </c>
      <c r="R53" s="28" t="s">
        <v>22</v>
      </c>
      <c r="S53" s="21">
        <v>33768</v>
      </c>
      <c r="T53" s="18" t="s">
        <v>23</v>
      </c>
      <c r="U53" s="14"/>
    </row>
    <row r="54" spans="1:21" x14ac:dyDescent="0.2">
      <c r="A54" s="17">
        <v>52</v>
      </c>
      <c r="B54" s="18" t="s">
        <v>299</v>
      </c>
      <c r="C54" s="18" t="s">
        <v>300</v>
      </c>
      <c r="D54" s="20" t="s">
        <v>301</v>
      </c>
      <c r="E54" s="21">
        <v>90000</v>
      </c>
      <c r="F54" s="20" t="s">
        <v>302</v>
      </c>
      <c r="G54" s="20" t="s">
        <v>21</v>
      </c>
      <c r="H54" s="22" t="s">
        <v>235</v>
      </c>
      <c r="I54" s="23" t="s">
        <v>303</v>
      </c>
      <c r="J54" s="24" t="s">
        <v>304</v>
      </c>
      <c r="K54" s="25">
        <f t="shared" si="0"/>
        <v>45685</v>
      </c>
      <c r="L54" s="26" t="str">
        <f t="shared" si="1"/>
        <v>Jan 25</v>
      </c>
      <c r="M54" s="26" t="str">
        <f t="shared" si="2"/>
        <v>2025</v>
      </c>
      <c r="N54" s="23" t="s">
        <v>305</v>
      </c>
      <c r="O54" s="25">
        <f t="shared" si="6"/>
        <v>45692</v>
      </c>
      <c r="P54" s="27">
        <f t="shared" si="4"/>
        <v>0</v>
      </c>
      <c r="Q54" s="27">
        <f t="shared" si="5"/>
        <v>0</v>
      </c>
      <c r="R54" s="28" t="s">
        <v>22</v>
      </c>
      <c r="S54" s="21">
        <v>9630</v>
      </c>
      <c r="T54" s="18" t="s">
        <v>23</v>
      </c>
      <c r="U54" s="14"/>
    </row>
    <row r="55" spans="1:21" x14ac:dyDescent="0.2">
      <c r="A55" s="17">
        <v>53</v>
      </c>
      <c r="B55" s="18" t="s">
        <v>306</v>
      </c>
      <c r="C55" s="18" t="s">
        <v>307</v>
      </c>
      <c r="D55" s="20" t="s">
        <v>308</v>
      </c>
      <c r="E55" s="21">
        <v>92720</v>
      </c>
      <c r="F55" s="20" t="s">
        <v>21</v>
      </c>
      <c r="G55" s="20" t="s">
        <v>21</v>
      </c>
      <c r="H55" s="22" t="s">
        <v>309</v>
      </c>
      <c r="I55" s="23" t="s">
        <v>98</v>
      </c>
      <c r="J55" s="24" t="s">
        <v>310</v>
      </c>
      <c r="K55" s="25">
        <f t="shared" si="0"/>
        <v>45644</v>
      </c>
      <c r="L55" s="26" t="str">
        <f t="shared" si="1"/>
        <v>Dec 24</v>
      </c>
      <c r="M55" s="26" t="str">
        <f t="shared" si="2"/>
        <v>2024</v>
      </c>
      <c r="N55" s="23" t="s">
        <v>311</v>
      </c>
      <c r="O55" s="25">
        <f t="shared" si="6"/>
        <v>45695</v>
      </c>
      <c r="P55" s="27">
        <f t="shared" si="4"/>
        <v>1</v>
      </c>
      <c r="Q55" s="27">
        <f t="shared" si="5"/>
        <v>1</v>
      </c>
      <c r="R55" s="28" t="s">
        <v>22</v>
      </c>
      <c r="S55" s="21">
        <v>12507.23</v>
      </c>
      <c r="T55" s="18" t="s">
        <v>23</v>
      </c>
      <c r="U55" s="14"/>
    </row>
    <row r="56" spans="1:21" x14ac:dyDescent="0.2">
      <c r="A56" s="17">
        <v>54</v>
      </c>
      <c r="B56" s="18" t="s">
        <v>312</v>
      </c>
      <c r="C56" s="19" t="s">
        <v>313</v>
      </c>
      <c r="D56" s="20" t="s">
        <v>314</v>
      </c>
      <c r="E56" s="21">
        <v>100000</v>
      </c>
      <c r="F56" s="20" t="s">
        <v>21</v>
      </c>
      <c r="G56" s="20" t="s">
        <v>21</v>
      </c>
      <c r="H56" s="22" t="s">
        <v>177</v>
      </c>
      <c r="I56" s="23" t="s">
        <v>98</v>
      </c>
      <c r="J56" s="24" t="s">
        <v>315</v>
      </c>
      <c r="K56" s="25">
        <f t="shared" si="0"/>
        <v>45495</v>
      </c>
      <c r="L56" s="26" t="str">
        <f t="shared" si="1"/>
        <v>Jul 24</v>
      </c>
      <c r="M56" s="26" t="str">
        <f t="shared" si="2"/>
        <v>2024</v>
      </c>
      <c r="N56" s="23" t="s">
        <v>288</v>
      </c>
      <c r="O56" s="25">
        <f t="shared" si="6"/>
        <v>45700</v>
      </c>
      <c r="P56" s="27">
        <f t="shared" si="4"/>
        <v>6</v>
      </c>
      <c r="Q56" s="27">
        <f t="shared" si="5"/>
        <v>1</v>
      </c>
      <c r="R56" s="28" t="s">
        <v>22</v>
      </c>
      <c r="S56" s="21">
        <v>14715.01</v>
      </c>
      <c r="T56" s="18" t="s">
        <v>23</v>
      </c>
      <c r="U56" s="14"/>
    </row>
    <row r="57" spans="1:21" x14ac:dyDescent="0.2">
      <c r="A57" s="17">
        <v>55</v>
      </c>
      <c r="B57" s="18" t="s">
        <v>316</v>
      </c>
      <c r="C57" s="18" t="s">
        <v>317</v>
      </c>
      <c r="D57" s="20" t="s">
        <v>318</v>
      </c>
      <c r="E57" s="21">
        <v>80000</v>
      </c>
      <c r="F57" s="20" t="s">
        <v>319</v>
      </c>
      <c r="G57" s="20" t="s">
        <v>21</v>
      </c>
      <c r="H57" s="22" t="s">
        <v>320</v>
      </c>
      <c r="I57" s="23" t="s">
        <v>63</v>
      </c>
      <c r="J57" s="24" t="s">
        <v>276</v>
      </c>
      <c r="K57" s="25">
        <f t="shared" si="0"/>
        <v>45668</v>
      </c>
      <c r="L57" s="26" t="str">
        <f t="shared" si="1"/>
        <v>Jan 25</v>
      </c>
      <c r="M57" s="26" t="str">
        <f t="shared" si="2"/>
        <v>2025</v>
      </c>
      <c r="N57" s="23" t="s">
        <v>253</v>
      </c>
      <c r="O57" s="25">
        <f t="shared" si="6"/>
        <v>45687</v>
      </c>
      <c r="P57" s="27">
        <f t="shared" si="4"/>
        <v>0</v>
      </c>
      <c r="Q57" s="27">
        <f t="shared" si="5"/>
        <v>0</v>
      </c>
      <c r="R57" s="28" t="s">
        <v>22</v>
      </c>
      <c r="S57" s="21">
        <v>61272</v>
      </c>
      <c r="T57" s="18" t="s">
        <v>23</v>
      </c>
      <c r="U57" s="14"/>
    </row>
    <row r="58" spans="1:21" x14ac:dyDescent="0.2">
      <c r="A58" s="17">
        <v>56</v>
      </c>
      <c r="B58" s="18" t="s">
        <v>321</v>
      </c>
      <c r="C58" s="19" t="s">
        <v>322</v>
      </c>
      <c r="D58" s="20" t="s">
        <v>323</v>
      </c>
      <c r="E58" s="21">
        <v>250000</v>
      </c>
      <c r="F58" s="20" t="s">
        <v>21</v>
      </c>
      <c r="G58" s="20" t="s">
        <v>21</v>
      </c>
      <c r="H58" s="22" t="s">
        <v>324</v>
      </c>
      <c r="I58" s="23" t="s">
        <v>325</v>
      </c>
      <c r="J58" s="24" t="s">
        <v>229</v>
      </c>
      <c r="K58" s="25">
        <f t="shared" si="0"/>
        <v>45678</v>
      </c>
      <c r="L58" s="26" t="str">
        <f t="shared" si="1"/>
        <v>Jan 25</v>
      </c>
      <c r="M58" s="26" t="str">
        <f t="shared" si="2"/>
        <v>2025</v>
      </c>
      <c r="N58" s="23" t="s">
        <v>199</v>
      </c>
      <c r="O58" s="25">
        <f t="shared" si="6"/>
        <v>45701</v>
      </c>
      <c r="P58" s="27">
        <f t="shared" si="4"/>
        <v>0</v>
      </c>
      <c r="Q58" s="27">
        <f t="shared" si="5"/>
        <v>0</v>
      </c>
      <c r="R58" s="28" t="s">
        <v>22</v>
      </c>
      <c r="S58" s="21">
        <v>6120</v>
      </c>
      <c r="T58" s="18" t="s">
        <v>23</v>
      </c>
      <c r="U58" s="14"/>
    </row>
    <row r="59" spans="1:21" x14ac:dyDescent="0.2">
      <c r="A59" s="17">
        <v>57</v>
      </c>
      <c r="B59" s="18" t="s">
        <v>326</v>
      </c>
      <c r="C59" s="18" t="s">
        <v>327</v>
      </c>
      <c r="D59" s="20" t="s">
        <v>328</v>
      </c>
      <c r="E59" s="21">
        <v>100000</v>
      </c>
      <c r="F59" s="20" t="s">
        <v>329</v>
      </c>
      <c r="G59" s="20" t="s">
        <v>21</v>
      </c>
      <c r="H59" s="22" t="s">
        <v>330</v>
      </c>
      <c r="I59" s="23" t="s">
        <v>331</v>
      </c>
      <c r="J59" s="24" t="s">
        <v>98</v>
      </c>
      <c r="K59" s="25">
        <f t="shared" si="0"/>
        <v>45657</v>
      </c>
      <c r="L59" s="26" t="str">
        <f t="shared" si="1"/>
        <v>Dec 24</v>
      </c>
      <c r="M59" s="26" t="str">
        <f t="shared" si="2"/>
        <v>2024</v>
      </c>
      <c r="N59" s="23" t="s">
        <v>288</v>
      </c>
      <c r="O59" s="25">
        <f t="shared" si="6"/>
        <v>45700</v>
      </c>
      <c r="P59" s="27">
        <f t="shared" si="4"/>
        <v>1</v>
      </c>
      <c r="Q59" s="27">
        <f t="shared" si="5"/>
        <v>1</v>
      </c>
      <c r="R59" s="28" t="s">
        <v>22</v>
      </c>
      <c r="S59" s="21">
        <v>19935</v>
      </c>
      <c r="T59" s="18" t="s">
        <v>23</v>
      </c>
      <c r="U59" s="14"/>
    </row>
    <row r="60" spans="1:21" x14ac:dyDescent="0.2">
      <c r="A60" s="17">
        <v>58</v>
      </c>
      <c r="B60" s="18" t="s">
        <v>332</v>
      </c>
      <c r="C60" s="18" t="s">
        <v>333</v>
      </c>
      <c r="D60" s="20" t="s">
        <v>334</v>
      </c>
      <c r="E60" s="21">
        <v>100000</v>
      </c>
      <c r="F60" s="20" t="s">
        <v>21</v>
      </c>
      <c r="G60" s="20" t="s">
        <v>21</v>
      </c>
      <c r="H60" s="22" t="s">
        <v>140</v>
      </c>
      <c r="I60" s="23" t="s">
        <v>141</v>
      </c>
      <c r="J60" s="24" t="s">
        <v>112</v>
      </c>
      <c r="K60" s="25">
        <f t="shared" si="0"/>
        <v>45694</v>
      </c>
      <c r="L60" s="26" t="str">
        <f t="shared" si="1"/>
        <v>Feb 25</v>
      </c>
      <c r="M60" s="26" t="str">
        <f t="shared" si="2"/>
        <v>2025</v>
      </c>
      <c r="N60" s="23" t="s">
        <v>335</v>
      </c>
      <c r="O60" s="25">
        <f t="shared" si="6"/>
        <v>45708</v>
      </c>
      <c r="P60" s="27">
        <f t="shared" si="4"/>
        <v>0</v>
      </c>
      <c r="Q60" s="27">
        <f t="shared" si="5"/>
        <v>0</v>
      </c>
      <c r="R60" s="28" t="s">
        <v>22</v>
      </c>
      <c r="S60" s="21">
        <v>3900</v>
      </c>
      <c r="T60" s="18" t="s">
        <v>23</v>
      </c>
      <c r="U60" s="14"/>
    </row>
    <row r="61" spans="1:21" x14ac:dyDescent="0.2">
      <c r="A61" s="17">
        <v>59</v>
      </c>
      <c r="B61" s="18" t="s">
        <v>336</v>
      </c>
      <c r="C61" s="18" t="s">
        <v>337</v>
      </c>
      <c r="D61" s="20" t="s">
        <v>338</v>
      </c>
      <c r="E61" s="21">
        <v>100000</v>
      </c>
      <c r="F61" s="20" t="s">
        <v>21</v>
      </c>
      <c r="G61" s="20" t="s">
        <v>21</v>
      </c>
      <c r="H61" s="22" t="s">
        <v>339</v>
      </c>
      <c r="I61" s="23" t="s">
        <v>340</v>
      </c>
      <c r="J61" s="24" t="s">
        <v>293</v>
      </c>
      <c r="K61" s="25">
        <f t="shared" si="0"/>
        <v>45698</v>
      </c>
      <c r="L61" s="26" t="str">
        <f t="shared" si="1"/>
        <v>Feb 25</v>
      </c>
      <c r="M61" s="26" t="str">
        <f t="shared" si="2"/>
        <v>2025</v>
      </c>
      <c r="N61" s="23" t="s">
        <v>341</v>
      </c>
      <c r="O61" s="25">
        <f t="shared" si="6"/>
        <v>45707</v>
      </c>
      <c r="P61" s="27">
        <f t="shared" si="4"/>
        <v>0</v>
      </c>
      <c r="Q61" s="27">
        <f t="shared" si="5"/>
        <v>0</v>
      </c>
      <c r="R61" s="28" t="s">
        <v>22</v>
      </c>
      <c r="S61" s="21">
        <v>4919.5600000000004</v>
      </c>
      <c r="T61" s="18" t="s">
        <v>23</v>
      </c>
      <c r="U61" s="14"/>
    </row>
    <row r="62" spans="1:21" ht="29" x14ac:dyDescent="0.2">
      <c r="A62" s="17">
        <v>60</v>
      </c>
      <c r="B62" s="18" t="s">
        <v>342</v>
      </c>
      <c r="C62" s="18" t="s">
        <v>343</v>
      </c>
      <c r="D62" s="49" t="s">
        <v>344</v>
      </c>
      <c r="E62" s="21">
        <v>100000</v>
      </c>
      <c r="F62" s="20" t="s">
        <v>21</v>
      </c>
      <c r="G62" s="49" t="s">
        <v>21</v>
      </c>
      <c r="H62" s="22" t="s">
        <v>186</v>
      </c>
      <c r="I62" s="23" t="s">
        <v>34</v>
      </c>
      <c r="J62" s="24" t="s">
        <v>345</v>
      </c>
      <c r="K62" s="25">
        <f t="shared" si="0"/>
        <v>45706</v>
      </c>
      <c r="L62" s="26" t="str">
        <f t="shared" si="1"/>
        <v>Feb 25</v>
      </c>
      <c r="M62" s="26" t="str">
        <f t="shared" si="2"/>
        <v>2025</v>
      </c>
      <c r="N62" s="50" t="s">
        <v>335</v>
      </c>
      <c r="O62" s="25">
        <f t="shared" si="6"/>
        <v>45708</v>
      </c>
      <c r="P62" s="27">
        <f t="shared" si="4"/>
        <v>0</v>
      </c>
      <c r="Q62" s="27">
        <f t="shared" si="5"/>
        <v>0</v>
      </c>
      <c r="R62" s="28" t="s">
        <v>22</v>
      </c>
      <c r="S62" s="21">
        <v>3150</v>
      </c>
      <c r="T62" s="18" t="s">
        <v>23</v>
      </c>
      <c r="U62" s="14"/>
    </row>
    <row r="63" spans="1:21" x14ac:dyDescent="0.2">
      <c r="A63" s="17">
        <v>61</v>
      </c>
      <c r="B63" s="18" t="s">
        <v>346</v>
      </c>
      <c r="C63" s="18" t="s">
        <v>347</v>
      </c>
      <c r="D63" s="20" t="s">
        <v>348</v>
      </c>
      <c r="E63" s="21">
        <v>65000</v>
      </c>
      <c r="F63" s="20" t="s">
        <v>21</v>
      </c>
      <c r="G63" s="20" t="s">
        <v>21</v>
      </c>
      <c r="H63" s="22" t="s">
        <v>177</v>
      </c>
      <c r="I63" s="23" t="s">
        <v>303</v>
      </c>
      <c r="J63" s="24" t="s">
        <v>270</v>
      </c>
      <c r="K63" s="25">
        <f t="shared" si="0"/>
        <v>45654</v>
      </c>
      <c r="L63" s="26" t="str">
        <f t="shared" si="1"/>
        <v>Dec 24</v>
      </c>
      <c r="M63" s="26" t="str">
        <f t="shared" si="2"/>
        <v>2024</v>
      </c>
      <c r="N63" s="23" t="s">
        <v>349</v>
      </c>
      <c r="O63" s="25">
        <f t="shared" si="6"/>
        <v>45705</v>
      </c>
      <c r="P63" s="27">
        <f t="shared" si="4"/>
        <v>1</v>
      </c>
      <c r="Q63" s="27">
        <f t="shared" si="5"/>
        <v>1</v>
      </c>
      <c r="R63" s="28" t="s">
        <v>22</v>
      </c>
      <c r="S63" s="21">
        <v>58500</v>
      </c>
      <c r="T63" s="18" t="s">
        <v>23</v>
      </c>
      <c r="U63" s="14"/>
    </row>
    <row r="64" spans="1:21" x14ac:dyDescent="0.2">
      <c r="A64" s="17">
        <v>62</v>
      </c>
      <c r="B64" s="18" t="s">
        <v>350</v>
      </c>
      <c r="C64" s="19" t="s">
        <v>351</v>
      </c>
      <c r="D64" s="20" t="s">
        <v>352</v>
      </c>
      <c r="E64" s="21">
        <v>85000</v>
      </c>
      <c r="F64" s="20" t="s">
        <v>353</v>
      </c>
      <c r="G64" s="20" t="s">
        <v>21</v>
      </c>
      <c r="H64" s="22" t="s">
        <v>177</v>
      </c>
      <c r="I64" s="23" t="s">
        <v>98</v>
      </c>
      <c r="J64" s="24" t="s">
        <v>354</v>
      </c>
      <c r="K64" s="25">
        <f t="shared" si="0"/>
        <v>45584</v>
      </c>
      <c r="L64" s="26" t="str">
        <f t="shared" si="1"/>
        <v>Oct 24</v>
      </c>
      <c r="M64" s="26" t="str">
        <f t="shared" si="2"/>
        <v>2024</v>
      </c>
      <c r="N64" s="23" t="s">
        <v>288</v>
      </c>
      <c r="O64" s="25">
        <f t="shared" si="6"/>
        <v>45700</v>
      </c>
      <c r="P64" s="27">
        <f t="shared" si="4"/>
        <v>3</v>
      </c>
      <c r="Q64" s="27">
        <f t="shared" si="5"/>
        <v>1</v>
      </c>
      <c r="R64" s="28" t="s">
        <v>22</v>
      </c>
      <c r="S64" s="21">
        <v>33876</v>
      </c>
      <c r="T64" s="18" t="s">
        <v>23</v>
      </c>
      <c r="U64" s="14"/>
    </row>
    <row r="65" spans="1:21" x14ac:dyDescent="0.2">
      <c r="A65" s="17">
        <v>63</v>
      </c>
      <c r="B65" s="18" t="s">
        <v>355</v>
      </c>
      <c r="C65" s="18" t="s">
        <v>356</v>
      </c>
      <c r="D65" s="20" t="s">
        <v>357</v>
      </c>
      <c r="E65" s="21">
        <v>400000</v>
      </c>
      <c r="F65" s="20" t="s">
        <v>21</v>
      </c>
      <c r="G65" s="20" t="s">
        <v>21</v>
      </c>
      <c r="H65" s="22" t="s">
        <v>110</v>
      </c>
      <c r="I65" s="23" t="s">
        <v>111</v>
      </c>
      <c r="J65" s="24" t="s">
        <v>265</v>
      </c>
      <c r="K65" s="25">
        <f t="shared" si="0"/>
        <v>45691</v>
      </c>
      <c r="L65" s="26" t="str">
        <f t="shared" si="1"/>
        <v>Feb 25</v>
      </c>
      <c r="M65" s="26" t="str">
        <f t="shared" si="2"/>
        <v>2025</v>
      </c>
      <c r="N65" s="23" t="s">
        <v>345</v>
      </c>
      <c r="O65" s="25">
        <f t="shared" si="6"/>
        <v>45706</v>
      </c>
      <c r="P65" s="27">
        <f t="shared" si="4"/>
        <v>0</v>
      </c>
      <c r="Q65" s="27">
        <f t="shared" si="5"/>
        <v>0</v>
      </c>
      <c r="R65" s="28" t="s">
        <v>22</v>
      </c>
      <c r="S65" s="21">
        <v>360000</v>
      </c>
      <c r="T65" s="18" t="s">
        <v>23</v>
      </c>
      <c r="U65" s="14"/>
    </row>
    <row r="66" spans="1:21" x14ac:dyDescent="0.2">
      <c r="A66" s="17">
        <v>64</v>
      </c>
      <c r="B66" s="18" t="s">
        <v>358</v>
      </c>
      <c r="C66" s="18" t="s">
        <v>359</v>
      </c>
      <c r="D66" s="20" t="s">
        <v>360</v>
      </c>
      <c r="E66" s="21">
        <v>120000</v>
      </c>
      <c r="F66" s="20" t="s">
        <v>361</v>
      </c>
      <c r="G66" s="20" t="s">
        <v>21</v>
      </c>
      <c r="H66" s="22" t="s">
        <v>362</v>
      </c>
      <c r="I66" s="23" t="s">
        <v>49</v>
      </c>
      <c r="J66" s="24" t="s">
        <v>242</v>
      </c>
      <c r="K66" s="25">
        <f t="shared" si="0"/>
        <v>45704</v>
      </c>
      <c r="L66" s="26" t="str">
        <f t="shared" si="1"/>
        <v>Feb 25</v>
      </c>
      <c r="M66" s="26" t="str">
        <f t="shared" si="2"/>
        <v>2025</v>
      </c>
      <c r="N66" s="23" t="s">
        <v>363</v>
      </c>
      <c r="O66" s="25">
        <f t="shared" si="6"/>
        <v>45713</v>
      </c>
      <c r="P66" s="27">
        <f t="shared" si="4"/>
        <v>0</v>
      </c>
      <c r="Q66" s="27">
        <f t="shared" si="5"/>
        <v>0</v>
      </c>
      <c r="R66" s="28" t="s">
        <v>22</v>
      </c>
      <c r="S66" s="21">
        <v>46530</v>
      </c>
      <c r="T66" s="18" t="s">
        <v>23</v>
      </c>
      <c r="U66" s="14"/>
    </row>
    <row r="67" spans="1:21" x14ac:dyDescent="0.2">
      <c r="A67" s="17">
        <v>65</v>
      </c>
      <c r="B67" s="18" t="s">
        <v>364</v>
      </c>
      <c r="C67" s="19" t="s">
        <v>365</v>
      </c>
      <c r="D67" s="20" t="s">
        <v>366</v>
      </c>
      <c r="E67" s="21">
        <v>120000</v>
      </c>
      <c r="F67" s="20" t="s">
        <v>367</v>
      </c>
      <c r="G67" s="20" t="s">
        <v>21</v>
      </c>
      <c r="H67" s="22" t="s">
        <v>368</v>
      </c>
      <c r="I67" s="23" t="s">
        <v>369</v>
      </c>
      <c r="J67" s="24" t="s">
        <v>370</v>
      </c>
      <c r="K67" s="25">
        <f t="shared" si="0"/>
        <v>45679</v>
      </c>
      <c r="L67" s="26" t="str">
        <f t="shared" si="1"/>
        <v>Jan 25</v>
      </c>
      <c r="M67" s="26" t="str">
        <f t="shared" si="2"/>
        <v>2025</v>
      </c>
      <c r="N67" s="23" t="s">
        <v>370</v>
      </c>
      <c r="O67" s="25">
        <f t="shared" si="6"/>
        <v>45679</v>
      </c>
      <c r="P67" s="27">
        <f t="shared" si="4"/>
        <v>0</v>
      </c>
      <c r="Q67" s="27">
        <f t="shared" si="5"/>
        <v>0</v>
      </c>
      <c r="R67" s="28" t="s">
        <v>22</v>
      </c>
      <c r="S67" s="21">
        <v>26550</v>
      </c>
      <c r="T67" s="18" t="s">
        <v>23</v>
      </c>
      <c r="U67" s="14"/>
    </row>
    <row r="68" spans="1:21" x14ac:dyDescent="0.2">
      <c r="A68" s="17">
        <v>66</v>
      </c>
      <c r="B68" s="18" t="s">
        <v>371</v>
      </c>
      <c r="C68" s="18" t="s">
        <v>372</v>
      </c>
      <c r="D68" s="20" t="s">
        <v>373</v>
      </c>
      <c r="E68" s="21" t="s">
        <v>374</v>
      </c>
      <c r="F68" s="20" t="s">
        <v>375</v>
      </c>
      <c r="G68" s="20" t="s">
        <v>21</v>
      </c>
      <c r="H68" s="22" t="s">
        <v>152</v>
      </c>
      <c r="I68" s="23" t="s">
        <v>120</v>
      </c>
      <c r="J68" s="24" t="s">
        <v>376</v>
      </c>
      <c r="K68" s="25">
        <f t="shared" ref="K68:K131" si="7">DATE(RIGHT(J68,4),MID(J68,4,2),LEFT(J68,2))</f>
        <v>45780</v>
      </c>
      <c r="L68" s="26" t="str">
        <f t="shared" ref="L68:L131" si="8">TEXT(K68,"MMM YY")</f>
        <v>May 25</v>
      </c>
      <c r="M68" s="26" t="str">
        <f t="shared" ref="M68:M131" si="9">TEXT(K68,"yyyy")</f>
        <v>2025</v>
      </c>
      <c r="N68" s="23" t="s">
        <v>377</v>
      </c>
      <c r="O68" s="25">
        <f t="shared" si="6"/>
        <v>45795</v>
      </c>
      <c r="P68" s="27">
        <f t="shared" ref="P68:P131" si="10">DATEDIF(K68,O68,"M")</f>
        <v>0</v>
      </c>
      <c r="Q68" s="27">
        <f t="shared" ref="Q68:Q131" si="11">YEAR(O68)-YEAR(K68)</f>
        <v>0</v>
      </c>
      <c r="R68" s="28" t="s">
        <v>22</v>
      </c>
      <c r="S68" s="21">
        <v>3300</v>
      </c>
      <c r="T68" s="18" t="s">
        <v>23</v>
      </c>
      <c r="U68" s="14"/>
    </row>
    <row r="69" spans="1:21" x14ac:dyDescent="0.2">
      <c r="A69" s="17">
        <v>67</v>
      </c>
      <c r="B69" s="18" t="s">
        <v>378</v>
      </c>
      <c r="C69" s="18" t="s">
        <v>379</v>
      </c>
      <c r="D69" s="20" t="s">
        <v>380</v>
      </c>
      <c r="E69" s="21">
        <v>80000</v>
      </c>
      <c r="F69" s="20" t="s">
        <v>21</v>
      </c>
      <c r="G69" s="20" t="s">
        <v>21</v>
      </c>
      <c r="H69" s="22" t="s">
        <v>381</v>
      </c>
      <c r="I69" s="23" t="s">
        <v>382</v>
      </c>
      <c r="J69" s="24">
        <v>3101.2024999999999</v>
      </c>
      <c r="K69" s="25">
        <f t="shared" si="7"/>
        <v>45688</v>
      </c>
      <c r="L69" s="26" t="str">
        <f t="shared" si="8"/>
        <v>Jan 25</v>
      </c>
      <c r="M69" s="26" t="str">
        <f t="shared" si="9"/>
        <v>2025</v>
      </c>
      <c r="N69" s="23" t="s">
        <v>383</v>
      </c>
      <c r="O69" s="25">
        <f t="shared" si="6"/>
        <v>45699</v>
      </c>
      <c r="P69" s="27">
        <f t="shared" si="10"/>
        <v>0</v>
      </c>
      <c r="Q69" s="27">
        <f t="shared" si="11"/>
        <v>0</v>
      </c>
      <c r="R69" s="28" t="s">
        <v>22</v>
      </c>
      <c r="S69" s="21">
        <v>12528</v>
      </c>
      <c r="T69" s="18" t="s">
        <v>23</v>
      </c>
      <c r="U69" s="14"/>
    </row>
    <row r="70" spans="1:21" x14ac:dyDescent="0.2">
      <c r="A70" s="17">
        <v>68</v>
      </c>
      <c r="B70" s="18" t="s">
        <v>384</v>
      </c>
      <c r="C70" s="18" t="s">
        <v>385</v>
      </c>
      <c r="D70" s="20" t="s">
        <v>386</v>
      </c>
      <c r="E70" s="21" t="s">
        <v>374</v>
      </c>
      <c r="F70" s="20" t="s">
        <v>387</v>
      </c>
      <c r="G70" s="20" t="s">
        <v>21</v>
      </c>
      <c r="H70" s="22" t="s">
        <v>388</v>
      </c>
      <c r="I70" s="23" t="s">
        <v>389</v>
      </c>
      <c r="J70" s="24" t="s">
        <v>183</v>
      </c>
      <c r="K70" s="25">
        <f t="shared" si="7"/>
        <v>45642</v>
      </c>
      <c r="L70" s="26" t="str">
        <f t="shared" si="8"/>
        <v>Dec 24</v>
      </c>
      <c r="M70" s="26" t="str">
        <f t="shared" si="9"/>
        <v>2024</v>
      </c>
      <c r="N70" s="23" t="s">
        <v>283</v>
      </c>
      <c r="O70" s="25">
        <f t="shared" si="6"/>
        <v>45712</v>
      </c>
      <c r="P70" s="27">
        <f t="shared" si="10"/>
        <v>2</v>
      </c>
      <c r="Q70" s="27">
        <f t="shared" si="11"/>
        <v>1</v>
      </c>
      <c r="R70" s="28" t="s">
        <v>22</v>
      </c>
      <c r="S70" s="21">
        <v>6984</v>
      </c>
      <c r="T70" s="18" t="s">
        <v>23</v>
      </c>
      <c r="U70" s="14"/>
    </row>
    <row r="71" spans="1:21" x14ac:dyDescent="0.2">
      <c r="A71" s="17">
        <v>69</v>
      </c>
      <c r="B71" s="18" t="s">
        <v>390</v>
      </c>
      <c r="C71" s="18" t="s">
        <v>391</v>
      </c>
      <c r="D71" s="20" t="s">
        <v>392</v>
      </c>
      <c r="E71" s="21" t="s">
        <v>374</v>
      </c>
      <c r="F71" s="20" t="s">
        <v>393</v>
      </c>
      <c r="G71" s="20" t="s">
        <v>21</v>
      </c>
      <c r="H71" s="22" t="s">
        <v>140</v>
      </c>
      <c r="I71" s="23" t="s">
        <v>141</v>
      </c>
      <c r="J71" s="24" t="s">
        <v>370</v>
      </c>
      <c r="K71" s="25">
        <f t="shared" si="7"/>
        <v>45679</v>
      </c>
      <c r="L71" s="26" t="str">
        <f t="shared" si="8"/>
        <v>Jan 25</v>
      </c>
      <c r="M71" s="26" t="str">
        <f t="shared" si="9"/>
        <v>2025</v>
      </c>
      <c r="N71" s="23" t="s">
        <v>394</v>
      </c>
      <c r="O71" s="25">
        <f t="shared" si="6"/>
        <v>45693</v>
      </c>
      <c r="P71" s="27">
        <f t="shared" si="10"/>
        <v>0</v>
      </c>
      <c r="Q71" s="27">
        <f t="shared" si="11"/>
        <v>0</v>
      </c>
      <c r="R71" s="28" t="s">
        <v>22</v>
      </c>
      <c r="S71" s="21">
        <v>16417</v>
      </c>
      <c r="T71" s="18" t="s">
        <v>23</v>
      </c>
      <c r="U71" s="14"/>
    </row>
    <row r="72" spans="1:21" x14ac:dyDescent="0.2">
      <c r="A72" s="17">
        <v>70</v>
      </c>
      <c r="B72" s="18" t="s">
        <v>395</v>
      </c>
      <c r="C72" s="18" t="s">
        <v>396</v>
      </c>
      <c r="D72" s="20" t="s">
        <v>397</v>
      </c>
      <c r="E72" s="21">
        <v>50000</v>
      </c>
      <c r="F72" s="20" t="s">
        <v>21</v>
      </c>
      <c r="G72" s="20" t="s">
        <v>21</v>
      </c>
      <c r="H72" s="22" t="s">
        <v>140</v>
      </c>
      <c r="I72" s="23" t="s">
        <v>141</v>
      </c>
      <c r="J72" s="24" t="s">
        <v>293</v>
      </c>
      <c r="K72" s="25">
        <f t="shared" si="7"/>
        <v>45698</v>
      </c>
      <c r="L72" s="26" t="str">
        <f t="shared" si="8"/>
        <v>Feb 25</v>
      </c>
      <c r="M72" s="26" t="str">
        <f t="shared" si="9"/>
        <v>2025</v>
      </c>
      <c r="N72" s="23" t="s">
        <v>398</v>
      </c>
      <c r="O72" s="25">
        <f t="shared" si="6"/>
        <v>45702</v>
      </c>
      <c r="P72" s="27">
        <f t="shared" si="10"/>
        <v>0</v>
      </c>
      <c r="Q72" s="27">
        <f t="shared" si="11"/>
        <v>0</v>
      </c>
      <c r="R72" s="28" t="s">
        <v>22</v>
      </c>
      <c r="S72" s="21">
        <v>2835</v>
      </c>
      <c r="T72" s="18" t="s">
        <v>23</v>
      </c>
      <c r="U72" s="14"/>
    </row>
    <row r="73" spans="1:21" x14ac:dyDescent="0.2">
      <c r="A73" s="17">
        <v>71</v>
      </c>
      <c r="B73" s="18" t="s">
        <v>399</v>
      </c>
      <c r="C73" s="19" t="s">
        <v>400</v>
      </c>
      <c r="D73" s="20" t="s">
        <v>401</v>
      </c>
      <c r="E73" s="21">
        <v>170000</v>
      </c>
      <c r="F73" s="20" t="s">
        <v>21</v>
      </c>
      <c r="G73" s="20" t="s">
        <v>21</v>
      </c>
      <c r="H73" s="22" t="s">
        <v>140</v>
      </c>
      <c r="I73" s="23" t="s">
        <v>141</v>
      </c>
      <c r="J73" s="24" t="s">
        <v>402</v>
      </c>
      <c r="K73" s="25">
        <f t="shared" si="7"/>
        <v>45629</v>
      </c>
      <c r="L73" s="26" t="str">
        <f t="shared" si="8"/>
        <v>Dec 24</v>
      </c>
      <c r="M73" s="26" t="str">
        <f t="shared" si="9"/>
        <v>2024</v>
      </c>
      <c r="N73" s="23" t="s">
        <v>403</v>
      </c>
      <c r="O73" s="25">
        <f t="shared" si="6"/>
        <v>45716</v>
      </c>
      <c r="P73" s="27">
        <f t="shared" si="10"/>
        <v>2</v>
      </c>
      <c r="Q73" s="27">
        <f t="shared" si="11"/>
        <v>1</v>
      </c>
      <c r="R73" s="28" t="s">
        <v>65</v>
      </c>
      <c r="S73" s="21">
        <v>53037</v>
      </c>
      <c r="T73" s="18" t="s">
        <v>23</v>
      </c>
      <c r="U73" s="14"/>
    </row>
    <row r="74" spans="1:21" x14ac:dyDescent="0.2">
      <c r="A74" s="17">
        <v>72</v>
      </c>
      <c r="B74" s="18" t="s">
        <v>404</v>
      </c>
      <c r="C74" s="18" t="s">
        <v>405</v>
      </c>
      <c r="D74" s="20" t="s">
        <v>406</v>
      </c>
      <c r="E74" s="21">
        <v>140000</v>
      </c>
      <c r="F74" s="20" t="s">
        <v>21</v>
      </c>
      <c r="G74" s="20" t="s">
        <v>21</v>
      </c>
      <c r="H74" s="22" t="s">
        <v>235</v>
      </c>
      <c r="I74" s="23" t="s">
        <v>303</v>
      </c>
      <c r="J74" s="24" t="s">
        <v>293</v>
      </c>
      <c r="K74" s="25">
        <f t="shared" si="7"/>
        <v>45698</v>
      </c>
      <c r="L74" s="26" t="str">
        <f t="shared" si="8"/>
        <v>Feb 25</v>
      </c>
      <c r="M74" s="26" t="str">
        <f t="shared" si="9"/>
        <v>2025</v>
      </c>
      <c r="N74" s="23" t="s">
        <v>283</v>
      </c>
      <c r="O74" s="25">
        <f t="shared" si="6"/>
        <v>45712</v>
      </c>
      <c r="P74" s="27">
        <f t="shared" si="10"/>
        <v>0</v>
      </c>
      <c r="Q74" s="27">
        <f t="shared" si="11"/>
        <v>0</v>
      </c>
      <c r="R74" s="28" t="s">
        <v>22</v>
      </c>
      <c r="S74" s="21">
        <v>13572</v>
      </c>
      <c r="T74" s="18" t="s">
        <v>23</v>
      </c>
      <c r="U74" s="14"/>
    </row>
    <row r="75" spans="1:21" x14ac:dyDescent="0.2">
      <c r="A75" s="17">
        <v>73</v>
      </c>
      <c r="B75" s="18" t="s">
        <v>407</v>
      </c>
      <c r="C75" s="18" t="s">
        <v>408</v>
      </c>
      <c r="D75" s="20" t="s">
        <v>409</v>
      </c>
      <c r="E75" s="21">
        <v>90000</v>
      </c>
      <c r="F75" s="20" t="s">
        <v>21</v>
      </c>
      <c r="G75" s="20" t="s">
        <v>21</v>
      </c>
      <c r="H75" s="22" t="s">
        <v>186</v>
      </c>
      <c r="I75" s="23" t="s">
        <v>34</v>
      </c>
      <c r="J75" s="24" t="s">
        <v>394</v>
      </c>
      <c r="K75" s="25">
        <f t="shared" si="7"/>
        <v>45693</v>
      </c>
      <c r="L75" s="26" t="str">
        <f t="shared" si="8"/>
        <v>Feb 25</v>
      </c>
      <c r="M75" s="26" t="str">
        <f t="shared" si="9"/>
        <v>2025</v>
      </c>
      <c r="N75" s="23" t="s">
        <v>103</v>
      </c>
      <c r="O75" s="25">
        <f t="shared" si="6"/>
        <v>45719</v>
      </c>
      <c r="P75" s="27">
        <f t="shared" si="10"/>
        <v>0</v>
      </c>
      <c r="Q75" s="27">
        <f t="shared" si="11"/>
        <v>0</v>
      </c>
      <c r="R75" s="28" t="s">
        <v>22</v>
      </c>
      <c r="S75" s="21">
        <v>13500</v>
      </c>
      <c r="T75" s="18" t="s">
        <v>23</v>
      </c>
      <c r="U75" s="14"/>
    </row>
    <row r="76" spans="1:21" x14ac:dyDescent="0.2">
      <c r="A76" s="17">
        <v>74</v>
      </c>
      <c r="B76" s="18" t="s">
        <v>410</v>
      </c>
      <c r="C76" s="28" t="s">
        <v>411</v>
      </c>
      <c r="D76" s="44" t="s">
        <v>412</v>
      </c>
      <c r="E76" s="21">
        <v>40000</v>
      </c>
      <c r="F76" s="20" t="s">
        <v>21</v>
      </c>
      <c r="G76" s="20" t="s">
        <v>21</v>
      </c>
      <c r="H76" s="45" t="s">
        <v>413</v>
      </c>
      <c r="I76" s="46" t="s">
        <v>229</v>
      </c>
      <c r="J76" s="24" t="s">
        <v>414</v>
      </c>
      <c r="K76" s="25">
        <f t="shared" si="7"/>
        <v>45575</v>
      </c>
      <c r="L76" s="26" t="str">
        <f t="shared" si="8"/>
        <v>Oct 24</v>
      </c>
      <c r="M76" s="26" t="str">
        <f t="shared" si="9"/>
        <v>2024</v>
      </c>
      <c r="N76" s="23" t="s">
        <v>363</v>
      </c>
      <c r="O76" s="25">
        <f t="shared" si="6"/>
        <v>45713</v>
      </c>
      <c r="P76" s="27">
        <f t="shared" si="10"/>
        <v>4</v>
      </c>
      <c r="Q76" s="27">
        <f t="shared" si="11"/>
        <v>1</v>
      </c>
      <c r="R76" s="28" t="s">
        <v>22</v>
      </c>
      <c r="S76" s="21">
        <v>14310</v>
      </c>
      <c r="T76" s="18" t="s">
        <v>23</v>
      </c>
      <c r="U76" s="14"/>
    </row>
    <row r="77" spans="1:21" x14ac:dyDescent="0.2">
      <c r="A77" s="17">
        <v>75</v>
      </c>
      <c r="B77" s="18" t="s">
        <v>415</v>
      </c>
      <c r="C77" s="19" t="s">
        <v>416</v>
      </c>
      <c r="D77" s="20" t="s">
        <v>417</v>
      </c>
      <c r="E77" s="21">
        <v>185212</v>
      </c>
      <c r="F77" s="20" t="s">
        <v>269</v>
      </c>
      <c r="G77" s="20" t="s">
        <v>21</v>
      </c>
      <c r="H77" s="22" t="s">
        <v>140</v>
      </c>
      <c r="I77" s="23" t="s">
        <v>141</v>
      </c>
      <c r="J77" s="48" t="s">
        <v>252</v>
      </c>
      <c r="K77" s="25">
        <f t="shared" si="7"/>
        <v>45683</v>
      </c>
      <c r="L77" s="26" t="str">
        <f t="shared" si="8"/>
        <v>Jan 25</v>
      </c>
      <c r="M77" s="26" t="str">
        <f t="shared" si="9"/>
        <v>2025</v>
      </c>
      <c r="N77" s="23" t="s">
        <v>199</v>
      </c>
      <c r="O77" s="25">
        <f t="shared" si="6"/>
        <v>45701</v>
      </c>
      <c r="P77" s="27">
        <f t="shared" si="10"/>
        <v>0</v>
      </c>
      <c r="Q77" s="27">
        <f t="shared" si="11"/>
        <v>0</v>
      </c>
      <c r="R77" s="28" t="s">
        <v>22</v>
      </c>
      <c r="S77" s="21">
        <v>46953</v>
      </c>
      <c r="T77" s="18" t="s">
        <v>23</v>
      </c>
      <c r="U77" s="14"/>
    </row>
    <row r="78" spans="1:21" x14ac:dyDescent="0.2">
      <c r="A78" s="17">
        <v>76</v>
      </c>
      <c r="B78" s="18" t="s">
        <v>418</v>
      </c>
      <c r="C78" s="18" t="s">
        <v>419</v>
      </c>
      <c r="D78" s="20" t="s">
        <v>420</v>
      </c>
      <c r="E78" s="21">
        <v>100000</v>
      </c>
      <c r="F78" s="20" t="s">
        <v>21</v>
      </c>
      <c r="G78" s="20" t="s">
        <v>21</v>
      </c>
      <c r="H78" s="22" t="s">
        <v>421</v>
      </c>
      <c r="I78" s="23" t="s">
        <v>303</v>
      </c>
      <c r="J78" s="24" t="s">
        <v>422</v>
      </c>
      <c r="K78" s="25">
        <f t="shared" si="7"/>
        <v>45717</v>
      </c>
      <c r="L78" s="26" t="str">
        <f t="shared" si="8"/>
        <v>Mar 25</v>
      </c>
      <c r="M78" s="26" t="str">
        <f t="shared" si="9"/>
        <v>2025</v>
      </c>
      <c r="N78" s="23" t="s">
        <v>423</v>
      </c>
      <c r="O78" s="25">
        <f t="shared" si="6"/>
        <v>45721</v>
      </c>
      <c r="P78" s="27">
        <f t="shared" si="10"/>
        <v>0</v>
      </c>
      <c r="Q78" s="27">
        <f t="shared" si="11"/>
        <v>0</v>
      </c>
      <c r="R78" s="28" t="s">
        <v>22</v>
      </c>
      <c r="S78" s="21">
        <v>80500</v>
      </c>
      <c r="T78" s="18" t="s">
        <v>23</v>
      </c>
      <c r="U78" s="14"/>
    </row>
    <row r="79" spans="1:21" x14ac:dyDescent="0.2">
      <c r="A79" s="17">
        <v>77</v>
      </c>
      <c r="B79" s="18" t="s">
        <v>424</v>
      </c>
      <c r="C79" s="18" t="s">
        <v>425</v>
      </c>
      <c r="D79" s="20" t="s">
        <v>426</v>
      </c>
      <c r="E79" s="21">
        <v>130000</v>
      </c>
      <c r="F79" s="20" t="s">
        <v>21</v>
      </c>
      <c r="G79" s="20" t="s">
        <v>427</v>
      </c>
      <c r="H79" s="22" t="s">
        <v>293</v>
      </c>
      <c r="I79" s="23" t="s">
        <v>428</v>
      </c>
      <c r="J79" s="24" t="s">
        <v>103</v>
      </c>
      <c r="K79" s="25">
        <f t="shared" si="7"/>
        <v>45719</v>
      </c>
      <c r="L79" s="26" t="str">
        <f t="shared" si="8"/>
        <v>Mar 25</v>
      </c>
      <c r="M79" s="26" t="str">
        <f t="shared" si="9"/>
        <v>2025</v>
      </c>
      <c r="N79" s="23" t="s">
        <v>423</v>
      </c>
      <c r="O79" s="25">
        <f t="shared" si="6"/>
        <v>45721</v>
      </c>
      <c r="P79" s="27">
        <f t="shared" si="10"/>
        <v>0</v>
      </c>
      <c r="Q79" s="27">
        <f t="shared" si="11"/>
        <v>0</v>
      </c>
      <c r="R79" s="28" t="s">
        <v>22</v>
      </c>
      <c r="S79" s="21">
        <v>44415</v>
      </c>
      <c r="T79" s="18" t="s">
        <v>23</v>
      </c>
      <c r="U79" s="14"/>
    </row>
    <row r="80" spans="1:21" x14ac:dyDescent="0.2">
      <c r="A80" s="17">
        <v>78</v>
      </c>
      <c r="B80" s="18" t="s">
        <v>429</v>
      </c>
      <c r="C80" s="18" t="s">
        <v>430</v>
      </c>
      <c r="D80" s="20" t="s">
        <v>431</v>
      </c>
      <c r="E80" s="21">
        <v>60000</v>
      </c>
      <c r="F80" s="20" t="s">
        <v>21</v>
      </c>
      <c r="G80" s="20" t="s">
        <v>21</v>
      </c>
      <c r="H80" s="22" t="s">
        <v>140</v>
      </c>
      <c r="I80" s="23" t="s">
        <v>141</v>
      </c>
      <c r="J80" s="24" t="s">
        <v>398</v>
      </c>
      <c r="K80" s="25">
        <f t="shared" si="7"/>
        <v>45702</v>
      </c>
      <c r="L80" s="26" t="str">
        <f t="shared" si="8"/>
        <v>Feb 25</v>
      </c>
      <c r="M80" s="26" t="str">
        <f t="shared" si="9"/>
        <v>2025</v>
      </c>
      <c r="N80" s="23" t="s">
        <v>423</v>
      </c>
      <c r="O80" s="25">
        <f t="shared" si="6"/>
        <v>45721</v>
      </c>
      <c r="P80" s="27">
        <f t="shared" si="10"/>
        <v>0</v>
      </c>
      <c r="Q80" s="27">
        <f t="shared" si="11"/>
        <v>0</v>
      </c>
      <c r="R80" s="28" t="s">
        <v>22</v>
      </c>
      <c r="S80" s="21">
        <v>10476.4</v>
      </c>
      <c r="T80" s="18" t="s">
        <v>23</v>
      </c>
      <c r="U80" s="14"/>
    </row>
    <row r="81" spans="1:21" x14ac:dyDescent="0.2">
      <c r="A81" s="17">
        <v>79</v>
      </c>
      <c r="B81" s="18" t="s">
        <v>432</v>
      </c>
      <c r="C81" s="18" t="s">
        <v>433</v>
      </c>
      <c r="D81" s="20" t="s">
        <v>434</v>
      </c>
      <c r="E81" s="21">
        <v>90000</v>
      </c>
      <c r="F81" s="20" t="s">
        <v>21</v>
      </c>
      <c r="G81" s="20" t="s">
        <v>21</v>
      </c>
      <c r="H81" s="22" t="s">
        <v>435</v>
      </c>
      <c r="I81" s="23" t="s">
        <v>436</v>
      </c>
      <c r="J81" s="24" t="s">
        <v>437</v>
      </c>
      <c r="K81" s="25">
        <f t="shared" si="7"/>
        <v>45722</v>
      </c>
      <c r="L81" s="26" t="str">
        <f t="shared" si="8"/>
        <v>Mar 25</v>
      </c>
      <c r="M81" s="26" t="str">
        <f t="shared" si="9"/>
        <v>2025</v>
      </c>
      <c r="N81" s="23" t="s">
        <v>103</v>
      </c>
      <c r="O81" s="25">
        <f t="shared" si="6"/>
        <v>45719</v>
      </c>
      <c r="P81" s="27" t="e">
        <f t="shared" si="10"/>
        <v>#NUM!</v>
      </c>
      <c r="Q81" s="27">
        <f t="shared" si="11"/>
        <v>0</v>
      </c>
      <c r="R81" s="28" t="s">
        <v>22</v>
      </c>
      <c r="S81" s="21">
        <v>81000</v>
      </c>
      <c r="T81" s="18" t="s">
        <v>23</v>
      </c>
      <c r="U81" s="14"/>
    </row>
    <row r="82" spans="1:21" ht="56" x14ac:dyDescent="0.2">
      <c r="A82" s="17">
        <v>80</v>
      </c>
      <c r="B82" s="18" t="s">
        <v>438</v>
      </c>
      <c r="C82" s="29" t="s">
        <v>439</v>
      </c>
      <c r="D82" s="30" t="s">
        <v>440</v>
      </c>
      <c r="E82" s="31">
        <v>70000</v>
      </c>
      <c r="F82" s="31" t="s">
        <v>21</v>
      </c>
      <c r="G82" s="31" t="s">
        <v>21</v>
      </c>
      <c r="H82" s="32" t="s">
        <v>140</v>
      </c>
      <c r="I82" s="33" t="s">
        <v>141</v>
      </c>
      <c r="J82" s="24" t="s">
        <v>422</v>
      </c>
      <c r="K82" s="25">
        <f t="shared" si="7"/>
        <v>45717</v>
      </c>
      <c r="L82" s="26" t="str">
        <f t="shared" si="8"/>
        <v>Mar 25</v>
      </c>
      <c r="M82" s="26" t="str">
        <f t="shared" si="9"/>
        <v>2025</v>
      </c>
      <c r="N82" s="23" t="s">
        <v>437</v>
      </c>
      <c r="O82" s="25">
        <f t="shared" si="6"/>
        <v>45722</v>
      </c>
      <c r="P82" s="27">
        <f t="shared" si="10"/>
        <v>0</v>
      </c>
      <c r="Q82" s="27">
        <f t="shared" si="11"/>
        <v>0</v>
      </c>
      <c r="R82" s="28" t="s">
        <v>22</v>
      </c>
      <c r="S82" s="21">
        <v>4000</v>
      </c>
      <c r="T82" s="18" t="s">
        <v>23</v>
      </c>
      <c r="U82" s="14"/>
    </row>
    <row r="83" spans="1:21" ht="42" x14ac:dyDescent="0.2">
      <c r="A83" s="17">
        <v>81</v>
      </c>
      <c r="B83" s="34" t="s">
        <v>441</v>
      </c>
      <c r="C83" s="29" t="s">
        <v>442</v>
      </c>
      <c r="D83" s="30" t="s">
        <v>443</v>
      </c>
      <c r="E83" s="31">
        <v>4500</v>
      </c>
      <c r="F83" s="31" t="s">
        <v>21</v>
      </c>
      <c r="G83" s="31" t="s">
        <v>21</v>
      </c>
      <c r="H83" s="32" t="s">
        <v>110</v>
      </c>
      <c r="I83" s="33" t="s">
        <v>444</v>
      </c>
      <c r="J83" s="35" t="s">
        <v>293</v>
      </c>
      <c r="K83" s="25">
        <f t="shared" si="7"/>
        <v>45698</v>
      </c>
      <c r="L83" s="26" t="str">
        <f t="shared" si="8"/>
        <v>Feb 25</v>
      </c>
      <c r="M83" s="26" t="str">
        <f t="shared" si="9"/>
        <v>2025</v>
      </c>
      <c r="N83" s="36" t="s">
        <v>423</v>
      </c>
      <c r="O83" s="25">
        <f t="shared" ref="O83:O146" si="12">DATE(RIGHT(N83,4),MID(N83,4,2),LEFT(N83,2))</f>
        <v>45721</v>
      </c>
      <c r="P83" s="27">
        <f t="shared" si="10"/>
        <v>0</v>
      </c>
      <c r="Q83" s="27">
        <f t="shared" si="11"/>
        <v>0</v>
      </c>
      <c r="R83" s="37" t="s">
        <v>22</v>
      </c>
      <c r="S83" s="31">
        <v>4500</v>
      </c>
      <c r="T83" s="18" t="s">
        <v>23</v>
      </c>
      <c r="U83" s="14"/>
    </row>
    <row r="84" spans="1:21" ht="56" x14ac:dyDescent="0.2">
      <c r="A84" s="17">
        <v>82</v>
      </c>
      <c r="B84" s="34" t="s">
        <v>445</v>
      </c>
      <c r="C84" s="29" t="s">
        <v>446</v>
      </c>
      <c r="D84" s="30" t="s">
        <v>447</v>
      </c>
      <c r="E84" s="31">
        <v>45000</v>
      </c>
      <c r="F84" s="31" t="s">
        <v>21</v>
      </c>
      <c r="G84" s="31" t="s">
        <v>21</v>
      </c>
      <c r="H84" s="32" t="s">
        <v>280</v>
      </c>
      <c r="I84" s="33" t="s">
        <v>118</v>
      </c>
      <c r="J84" s="35" t="s">
        <v>167</v>
      </c>
      <c r="K84" s="25">
        <f t="shared" si="7"/>
        <v>45688</v>
      </c>
      <c r="L84" s="26" t="str">
        <f t="shared" si="8"/>
        <v>Jan 25</v>
      </c>
      <c r="M84" s="26" t="str">
        <f t="shared" si="9"/>
        <v>2025</v>
      </c>
      <c r="N84" s="36" t="s">
        <v>448</v>
      </c>
      <c r="O84" s="25">
        <f t="shared" si="12"/>
        <v>45744</v>
      </c>
      <c r="P84" s="27">
        <f t="shared" si="10"/>
        <v>1</v>
      </c>
      <c r="Q84" s="27">
        <f t="shared" si="11"/>
        <v>0</v>
      </c>
      <c r="R84" s="37" t="s">
        <v>22</v>
      </c>
      <c r="S84" s="31">
        <v>40500</v>
      </c>
      <c r="T84" s="18" t="s">
        <v>23</v>
      </c>
      <c r="U84" s="14"/>
    </row>
    <row r="85" spans="1:21" ht="43" x14ac:dyDescent="0.2">
      <c r="A85" s="17">
        <v>83</v>
      </c>
      <c r="B85" s="34" t="s">
        <v>449</v>
      </c>
      <c r="C85" s="19" t="s">
        <v>450</v>
      </c>
      <c r="D85" s="30" t="s">
        <v>451</v>
      </c>
      <c r="E85" s="31">
        <v>200000</v>
      </c>
      <c r="F85" s="31" t="s">
        <v>452</v>
      </c>
      <c r="G85" s="31" t="s">
        <v>21</v>
      </c>
      <c r="H85" s="32" t="s">
        <v>140</v>
      </c>
      <c r="I85" s="33" t="s">
        <v>141</v>
      </c>
      <c r="J85" s="35" t="s">
        <v>230</v>
      </c>
      <c r="K85" s="25">
        <f t="shared" si="7"/>
        <v>45715</v>
      </c>
      <c r="L85" s="26" t="str">
        <f t="shared" si="8"/>
        <v>Feb 25</v>
      </c>
      <c r="M85" s="26" t="str">
        <f t="shared" si="9"/>
        <v>2025</v>
      </c>
      <c r="N85" s="36" t="s">
        <v>453</v>
      </c>
      <c r="O85" s="25">
        <f t="shared" si="12"/>
        <v>45727</v>
      </c>
      <c r="P85" s="27">
        <f t="shared" si="10"/>
        <v>0</v>
      </c>
      <c r="Q85" s="27">
        <f t="shared" si="11"/>
        <v>0</v>
      </c>
      <c r="R85" s="37" t="s">
        <v>22</v>
      </c>
      <c r="S85" s="31">
        <v>29336.400000000001</v>
      </c>
      <c r="T85" s="18" t="s">
        <v>23</v>
      </c>
      <c r="U85" s="14"/>
    </row>
    <row r="86" spans="1:21" ht="70" x14ac:dyDescent="0.2">
      <c r="A86" s="17">
        <v>84</v>
      </c>
      <c r="B86" s="18" t="s">
        <v>454</v>
      </c>
      <c r="C86" s="19" t="s">
        <v>455</v>
      </c>
      <c r="D86" s="30" t="s">
        <v>456</v>
      </c>
      <c r="E86" s="31">
        <v>45000</v>
      </c>
      <c r="F86" s="31" t="s">
        <v>457</v>
      </c>
      <c r="G86" s="31" t="s">
        <v>21</v>
      </c>
      <c r="H86" s="32" t="s">
        <v>186</v>
      </c>
      <c r="I86" s="33" t="s">
        <v>34</v>
      </c>
      <c r="J86" s="35" t="s">
        <v>458</v>
      </c>
      <c r="K86" s="25">
        <f t="shared" si="7"/>
        <v>45718</v>
      </c>
      <c r="L86" s="26" t="str">
        <f t="shared" si="8"/>
        <v>Mar 25</v>
      </c>
      <c r="M86" s="26" t="str">
        <f t="shared" si="9"/>
        <v>2025</v>
      </c>
      <c r="N86" s="36" t="s">
        <v>453</v>
      </c>
      <c r="O86" s="25">
        <f t="shared" si="12"/>
        <v>45727</v>
      </c>
      <c r="P86" s="27">
        <f t="shared" si="10"/>
        <v>0</v>
      </c>
      <c r="Q86" s="27">
        <f t="shared" si="11"/>
        <v>0</v>
      </c>
      <c r="R86" s="37" t="s">
        <v>22</v>
      </c>
      <c r="S86" s="31">
        <v>31185</v>
      </c>
      <c r="T86" s="18" t="s">
        <v>23</v>
      </c>
      <c r="U86" s="14"/>
    </row>
    <row r="87" spans="1:21" ht="70" x14ac:dyDescent="0.2">
      <c r="A87" s="17">
        <v>85</v>
      </c>
      <c r="B87" s="18" t="s">
        <v>459</v>
      </c>
      <c r="C87" s="19" t="s">
        <v>460</v>
      </c>
      <c r="D87" s="30" t="s">
        <v>461</v>
      </c>
      <c r="E87" s="31" t="s">
        <v>374</v>
      </c>
      <c r="F87" s="31" t="s">
        <v>462</v>
      </c>
      <c r="G87" s="31" t="s">
        <v>21</v>
      </c>
      <c r="H87" s="32" t="s">
        <v>463</v>
      </c>
      <c r="I87" s="33" t="s">
        <v>464</v>
      </c>
      <c r="J87" s="35" t="s">
        <v>141</v>
      </c>
      <c r="K87" s="25">
        <f t="shared" si="7"/>
        <v>46022</v>
      </c>
      <c r="L87" s="26" t="str">
        <f t="shared" si="8"/>
        <v>Dec 25</v>
      </c>
      <c r="M87" s="26" t="str">
        <f t="shared" si="9"/>
        <v>2025</v>
      </c>
      <c r="N87" s="36" t="s">
        <v>465</v>
      </c>
      <c r="O87" s="25">
        <f t="shared" si="12"/>
        <v>45714</v>
      </c>
      <c r="P87" s="27" t="e">
        <f t="shared" si="10"/>
        <v>#NUM!</v>
      </c>
      <c r="Q87" s="27">
        <f t="shared" si="11"/>
        <v>0</v>
      </c>
      <c r="R87" s="47" t="s">
        <v>22</v>
      </c>
      <c r="S87" s="31">
        <v>27000</v>
      </c>
      <c r="T87" s="18" t="s">
        <v>23</v>
      </c>
      <c r="U87" s="14"/>
    </row>
    <row r="88" spans="1:21" x14ac:dyDescent="0.2">
      <c r="A88" s="17">
        <v>86</v>
      </c>
      <c r="B88" s="18" t="s">
        <v>466</v>
      </c>
      <c r="C88" s="19" t="s">
        <v>467</v>
      </c>
      <c r="D88" s="20" t="s">
        <v>468</v>
      </c>
      <c r="E88" s="21">
        <v>150000</v>
      </c>
      <c r="F88" s="20" t="s">
        <v>469</v>
      </c>
      <c r="G88" s="20" t="s">
        <v>21</v>
      </c>
      <c r="H88" s="22" t="s">
        <v>186</v>
      </c>
      <c r="I88" s="23" t="s">
        <v>34</v>
      </c>
      <c r="J88" s="35" t="s">
        <v>423</v>
      </c>
      <c r="K88" s="25">
        <f t="shared" si="7"/>
        <v>45721</v>
      </c>
      <c r="L88" s="26" t="str">
        <f t="shared" si="8"/>
        <v>Mar 25</v>
      </c>
      <c r="M88" s="26" t="str">
        <f t="shared" si="9"/>
        <v>2025</v>
      </c>
      <c r="N88" s="36" t="s">
        <v>453</v>
      </c>
      <c r="O88" s="25">
        <f t="shared" si="12"/>
        <v>45727</v>
      </c>
      <c r="P88" s="27">
        <f t="shared" si="10"/>
        <v>0</v>
      </c>
      <c r="Q88" s="27">
        <f t="shared" si="11"/>
        <v>0</v>
      </c>
      <c r="R88" s="47" t="s">
        <v>22</v>
      </c>
      <c r="S88" s="31">
        <v>4300</v>
      </c>
      <c r="T88" s="18" t="s">
        <v>23</v>
      </c>
      <c r="U88" s="14"/>
    </row>
    <row r="89" spans="1:21" x14ac:dyDescent="0.2">
      <c r="A89" s="17">
        <v>87</v>
      </c>
      <c r="B89" s="18" t="s">
        <v>470</v>
      </c>
      <c r="C89" s="19" t="s">
        <v>471</v>
      </c>
      <c r="D89" s="20" t="s">
        <v>472</v>
      </c>
      <c r="E89" s="21" t="s">
        <v>374</v>
      </c>
      <c r="F89" s="20" t="s">
        <v>473</v>
      </c>
      <c r="G89" s="20" t="s">
        <v>21</v>
      </c>
      <c r="H89" s="22" t="s">
        <v>474</v>
      </c>
      <c r="I89" s="23" t="s">
        <v>475</v>
      </c>
      <c r="J89" s="24" t="s">
        <v>422</v>
      </c>
      <c r="K89" s="25">
        <f t="shared" si="7"/>
        <v>45717</v>
      </c>
      <c r="L89" s="26" t="str">
        <f t="shared" si="8"/>
        <v>Mar 25</v>
      </c>
      <c r="M89" s="26" t="str">
        <f t="shared" si="9"/>
        <v>2025</v>
      </c>
      <c r="N89" s="23" t="s">
        <v>476</v>
      </c>
      <c r="O89" s="25">
        <f t="shared" si="12"/>
        <v>45730</v>
      </c>
      <c r="P89" s="27">
        <f t="shared" si="10"/>
        <v>0</v>
      </c>
      <c r="Q89" s="27">
        <f t="shared" si="11"/>
        <v>0</v>
      </c>
      <c r="R89" s="28" t="s">
        <v>22</v>
      </c>
      <c r="S89" s="21">
        <v>27000</v>
      </c>
      <c r="T89" s="18" t="s">
        <v>23</v>
      </c>
      <c r="U89" s="14"/>
    </row>
    <row r="90" spans="1:21" x14ac:dyDescent="0.2">
      <c r="A90" s="17">
        <v>88</v>
      </c>
      <c r="B90" s="18" t="s">
        <v>477</v>
      </c>
      <c r="C90" s="19" t="s">
        <v>478</v>
      </c>
      <c r="D90" s="20" t="s">
        <v>479</v>
      </c>
      <c r="E90" s="21">
        <v>1500000</v>
      </c>
      <c r="F90" s="20" t="s">
        <v>21</v>
      </c>
      <c r="G90" s="20" t="s">
        <v>21</v>
      </c>
      <c r="H90" s="22" t="s">
        <v>480</v>
      </c>
      <c r="I90" s="23" t="s">
        <v>98</v>
      </c>
      <c r="J90" s="24" t="s">
        <v>481</v>
      </c>
      <c r="K90" s="25">
        <f t="shared" si="7"/>
        <v>45632</v>
      </c>
      <c r="L90" s="26" t="str">
        <f t="shared" si="8"/>
        <v>Dec 24</v>
      </c>
      <c r="M90" s="26" t="str">
        <f t="shared" si="9"/>
        <v>2024</v>
      </c>
      <c r="N90" s="50" t="s">
        <v>482</v>
      </c>
      <c r="O90" s="25">
        <f t="shared" si="12"/>
        <v>45733</v>
      </c>
      <c r="P90" s="27">
        <f t="shared" si="10"/>
        <v>3</v>
      </c>
      <c r="Q90" s="27">
        <f t="shared" si="11"/>
        <v>1</v>
      </c>
      <c r="R90" s="17" t="s">
        <v>22</v>
      </c>
      <c r="S90" s="21">
        <v>8780</v>
      </c>
      <c r="T90" s="18" t="s">
        <v>23</v>
      </c>
      <c r="U90" s="14"/>
    </row>
    <row r="91" spans="1:21" x14ac:dyDescent="0.2">
      <c r="A91" s="17">
        <v>89</v>
      </c>
      <c r="B91" s="18" t="s">
        <v>483</v>
      </c>
      <c r="C91" s="18" t="s">
        <v>484</v>
      </c>
      <c r="D91" s="20" t="s">
        <v>485</v>
      </c>
      <c r="E91" s="21">
        <v>60000</v>
      </c>
      <c r="F91" s="20" t="s">
        <v>21</v>
      </c>
      <c r="G91" s="20" t="s">
        <v>21</v>
      </c>
      <c r="H91" s="22" t="s">
        <v>110</v>
      </c>
      <c r="I91" s="23" t="s">
        <v>111</v>
      </c>
      <c r="J91" s="24" t="s">
        <v>458</v>
      </c>
      <c r="K91" s="25">
        <f t="shared" si="7"/>
        <v>45718</v>
      </c>
      <c r="L91" s="26" t="str">
        <f t="shared" si="8"/>
        <v>Mar 25</v>
      </c>
      <c r="M91" s="26" t="str">
        <f t="shared" si="9"/>
        <v>2025</v>
      </c>
      <c r="N91" s="23" t="s">
        <v>486</v>
      </c>
      <c r="O91" s="25">
        <f t="shared" si="12"/>
        <v>45735</v>
      </c>
      <c r="P91" s="27">
        <f t="shared" si="10"/>
        <v>0</v>
      </c>
      <c r="Q91" s="27">
        <f t="shared" si="11"/>
        <v>0</v>
      </c>
      <c r="R91" s="28" t="s">
        <v>22</v>
      </c>
      <c r="S91" s="21">
        <v>27418</v>
      </c>
      <c r="T91" s="18" t="s">
        <v>23</v>
      </c>
      <c r="U91" s="14"/>
    </row>
    <row r="92" spans="1:21" x14ac:dyDescent="0.2">
      <c r="A92" s="17">
        <v>90</v>
      </c>
      <c r="B92" s="18" t="s">
        <v>487</v>
      </c>
      <c r="C92" s="19" t="s">
        <v>488</v>
      </c>
      <c r="D92" s="20" t="s">
        <v>489</v>
      </c>
      <c r="E92" s="21">
        <v>70000</v>
      </c>
      <c r="F92" s="20" t="s">
        <v>490</v>
      </c>
      <c r="G92" s="20" t="s">
        <v>21</v>
      </c>
      <c r="H92" s="22" t="s">
        <v>491</v>
      </c>
      <c r="I92" s="23" t="s">
        <v>303</v>
      </c>
      <c r="J92" s="24" t="s">
        <v>199</v>
      </c>
      <c r="K92" s="25">
        <f t="shared" si="7"/>
        <v>45701</v>
      </c>
      <c r="L92" s="26" t="str">
        <f t="shared" si="8"/>
        <v>Feb 25</v>
      </c>
      <c r="M92" s="26" t="str">
        <f t="shared" si="9"/>
        <v>2025</v>
      </c>
      <c r="N92" s="23" t="s">
        <v>436</v>
      </c>
      <c r="O92" s="25">
        <f t="shared" si="12"/>
        <v>45726</v>
      </c>
      <c r="P92" s="27">
        <f t="shared" si="10"/>
        <v>0</v>
      </c>
      <c r="Q92" s="27">
        <f t="shared" si="11"/>
        <v>0</v>
      </c>
      <c r="R92" s="28" t="s">
        <v>22</v>
      </c>
      <c r="S92" s="21">
        <v>5652</v>
      </c>
      <c r="T92" s="18" t="s">
        <v>23</v>
      </c>
      <c r="U92" s="14"/>
    </row>
    <row r="93" spans="1:21" x14ac:dyDescent="0.2">
      <c r="A93" s="17">
        <v>91</v>
      </c>
      <c r="B93" s="18" t="s">
        <v>492</v>
      </c>
      <c r="C93" s="18" t="s">
        <v>493</v>
      </c>
      <c r="D93" s="20" t="s">
        <v>494</v>
      </c>
      <c r="E93" s="21">
        <v>30000</v>
      </c>
      <c r="F93" s="20" t="s">
        <v>21</v>
      </c>
      <c r="G93" s="20" t="s">
        <v>21</v>
      </c>
      <c r="H93" s="22" t="s">
        <v>140</v>
      </c>
      <c r="I93" s="23" t="s">
        <v>141</v>
      </c>
      <c r="J93" s="24" t="s">
        <v>458</v>
      </c>
      <c r="K93" s="25">
        <f t="shared" si="7"/>
        <v>45718</v>
      </c>
      <c r="L93" s="26" t="str">
        <f t="shared" si="8"/>
        <v>Mar 25</v>
      </c>
      <c r="M93" s="26" t="str">
        <f t="shared" si="9"/>
        <v>2025</v>
      </c>
      <c r="N93" s="23" t="s">
        <v>495</v>
      </c>
      <c r="O93" s="25">
        <f t="shared" si="12"/>
        <v>45737</v>
      </c>
      <c r="P93" s="27">
        <f t="shared" si="10"/>
        <v>0</v>
      </c>
      <c r="Q93" s="27">
        <f t="shared" si="11"/>
        <v>0</v>
      </c>
      <c r="R93" s="28" t="s">
        <v>22</v>
      </c>
      <c r="S93" s="21">
        <v>27500</v>
      </c>
      <c r="T93" s="18" t="s">
        <v>23</v>
      </c>
      <c r="U93" s="14"/>
    </row>
    <row r="94" spans="1:21" ht="70" x14ac:dyDescent="0.2">
      <c r="A94" s="17">
        <v>92</v>
      </c>
      <c r="B94" s="18" t="s">
        <v>496</v>
      </c>
      <c r="C94" s="29" t="s">
        <v>497</v>
      </c>
      <c r="D94" s="30" t="s">
        <v>498</v>
      </c>
      <c r="E94" s="31">
        <v>300000</v>
      </c>
      <c r="F94" s="31" t="s">
        <v>499</v>
      </c>
      <c r="G94" s="31" t="s">
        <v>21</v>
      </c>
      <c r="H94" s="32" t="s">
        <v>500</v>
      </c>
      <c r="I94" s="33" t="s">
        <v>501</v>
      </c>
      <c r="J94" s="24" t="s">
        <v>476</v>
      </c>
      <c r="K94" s="25">
        <f t="shared" si="7"/>
        <v>45730</v>
      </c>
      <c r="L94" s="26" t="str">
        <f t="shared" si="8"/>
        <v>Mar 25</v>
      </c>
      <c r="M94" s="26" t="str">
        <f t="shared" si="9"/>
        <v>2025</v>
      </c>
      <c r="N94" s="23" t="s">
        <v>502</v>
      </c>
      <c r="O94" s="25">
        <f t="shared" si="12"/>
        <v>45736</v>
      </c>
      <c r="P94" s="27">
        <f t="shared" si="10"/>
        <v>0</v>
      </c>
      <c r="Q94" s="27">
        <f t="shared" si="11"/>
        <v>0</v>
      </c>
      <c r="R94" s="28" t="s">
        <v>22</v>
      </c>
      <c r="S94" s="21">
        <v>35496</v>
      </c>
      <c r="T94" s="18" t="s">
        <v>23</v>
      </c>
      <c r="U94" s="14"/>
    </row>
    <row r="95" spans="1:21" ht="29" x14ac:dyDescent="0.2">
      <c r="A95" s="17">
        <v>93</v>
      </c>
      <c r="B95" s="34" t="s">
        <v>503</v>
      </c>
      <c r="C95" s="19" t="s">
        <v>504</v>
      </c>
      <c r="D95" s="20" t="s">
        <v>505</v>
      </c>
      <c r="E95" s="21">
        <v>35000</v>
      </c>
      <c r="F95" s="20" t="s">
        <v>21</v>
      </c>
      <c r="G95" s="20" t="s">
        <v>21</v>
      </c>
      <c r="H95" s="22" t="s">
        <v>235</v>
      </c>
      <c r="I95" s="23" t="s">
        <v>303</v>
      </c>
      <c r="J95" s="35" t="s">
        <v>506</v>
      </c>
      <c r="K95" s="25">
        <f t="shared" si="7"/>
        <v>45732</v>
      </c>
      <c r="L95" s="26" t="str">
        <f t="shared" si="8"/>
        <v>Mar 25</v>
      </c>
      <c r="M95" s="26" t="str">
        <f t="shared" si="9"/>
        <v>2025</v>
      </c>
      <c r="N95" s="36" t="s">
        <v>507</v>
      </c>
      <c r="O95" s="25">
        <f t="shared" si="12"/>
        <v>45741</v>
      </c>
      <c r="P95" s="27">
        <f t="shared" si="10"/>
        <v>0</v>
      </c>
      <c r="Q95" s="27">
        <f t="shared" si="11"/>
        <v>0</v>
      </c>
      <c r="R95" s="37" t="s">
        <v>22</v>
      </c>
      <c r="S95" s="31">
        <v>31500</v>
      </c>
      <c r="T95" s="18" t="s">
        <v>23</v>
      </c>
      <c r="U95" s="14"/>
    </row>
    <row r="96" spans="1:21" x14ac:dyDescent="0.2">
      <c r="A96" s="17">
        <v>94</v>
      </c>
      <c r="B96" s="18" t="s">
        <v>158</v>
      </c>
      <c r="C96" s="19" t="s">
        <v>508</v>
      </c>
      <c r="D96" s="20" t="s">
        <v>509</v>
      </c>
      <c r="E96" s="21">
        <v>250000</v>
      </c>
      <c r="F96" s="20" t="s">
        <v>21</v>
      </c>
      <c r="G96" s="20" t="s">
        <v>21</v>
      </c>
      <c r="H96" s="22" t="s">
        <v>140</v>
      </c>
      <c r="I96" s="23" t="s">
        <v>510</v>
      </c>
      <c r="J96" s="24" t="s">
        <v>511</v>
      </c>
      <c r="K96" s="25">
        <f t="shared" si="7"/>
        <v>45734</v>
      </c>
      <c r="L96" s="26" t="str">
        <f t="shared" si="8"/>
        <v>Mar 25</v>
      </c>
      <c r="M96" s="26" t="str">
        <f t="shared" si="9"/>
        <v>2025</v>
      </c>
      <c r="N96" s="23" t="s">
        <v>512</v>
      </c>
      <c r="O96" s="25">
        <f t="shared" si="12"/>
        <v>45743</v>
      </c>
      <c r="P96" s="27">
        <f t="shared" si="10"/>
        <v>0</v>
      </c>
      <c r="Q96" s="27">
        <f t="shared" si="11"/>
        <v>0</v>
      </c>
      <c r="R96" s="28" t="s">
        <v>22</v>
      </c>
      <c r="S96" s="21">
        <v>2568</v>
      </c>
      <c r="T96" s="18" t="s">
        <v>23</v>
      </c>
      <c r="U96" s="14"/>
    </row>
    <row r="97" spans="1:21" x14ac:dyDescent="0.2">
      <c r="A97" s="17">
        <v>95</v>
      </c>
      <c r="B97" s="18" t="s">
        <v>513</v>
      </c>
      <c r="C97" s="19" t="s">
        <v>514</v>
      </c>
      <c r="D97" s="20" t="s">
        <v>515</v>
      </c>
      <c r="E97" s="21">
        <v>30000</v>
      </c>
      <c r="F97" s="20" t="s">
        <v>21</v>
      </c>
      <c r="G97" s="20" t="s">
        <v>21</v>
      </c>
      <c r="H97" s="22" t="s">
        <v>516</v>
      </c>
      <c r="I97" s="23" t="s">
        <v>517</v>
      </c>
      <c r="J97" s="24" t="s">
        <v>518</v>
      </c>
      <c r="K97" s="25">
        <f t="shared" si="7"/>
        <v>45711</v>
      </c>
      <c r="L97" s="26" t="str">
        <f t="shared" si="8"/>
        <v>Feb 25</v>
      </c>
      <c r="M97" s="26" t="str">
        <f t="shared" si="9"/>
        <v>2025</v>
      </c>
      <c r="N97" s="23" t="s">
        <v>519</v>
      </c>
      <c r="O97" s="25">
        <f t="shared" si="12"/>
        <v>45740</v>
      </c>
      <c r="P97" s="27">
        <f t="shared" si="10"/>
        <v>1</v>
      </c>
      <c r="Q97" s="27">
        <f t="shared" si="11"/>
        <v>0</v>
      </c>
      <c r="R97" s="28" t="s">
        <v>22</v>
      </c>
      <c r="S97" s="21">
        <v>2880</v>
      </c>
      <c r="T97" s="18" t="s">
        <v>23</v>
      </c>
      <c r="U97" s="14"/>
    </row>
    <row r="98" spans="1:21" x14ac:dyDescent="0.2">
      <c r="A98" s="17">
        <v>96</v>
      </c>
      <c r="B98" s="18" t="s">
        <v>520</v>
      </c>
      <c r="C98" s="19" t="s">
        <v>521</v>
      </c>
      <c r="D98" s="20" t="s">
        <v>522</v>
      </c>
      <c r="E98" s="21">
        <v>80000</v>
      </c>
      <c r="F98" s="20" t="s">
        <v>21</v>
      </c>
      <c r="G98" s="20" t="s">
        <v>523</v>
      </c>
      <c r="H98" s="22" t="s">
        <v>381</v>
      </c>
      <c r="I98" s="23" t="s">
        <v>382</v>
      </c>
      <c r="J98" s="24" t="s">
        <v>458</v>
      </c>
      <c r="K98" s="25">
        <f t="shared" si="7"/>
        <v>45718</v>
      </c>
      <c r="L98" s="26" t="str">
        <f t="shared" si="8"/>
        <v>Mar 25</v>
      </c>
      <c r="M98" s="26" t="str">
        <f t="shared" si="9"/>
        <v>2025</v>
      </c>
      <c r="N98" s="23" t="s">
        <v>507</v>
      </c>
      <c r="O98" s="25">
        <f t="shared" si="12"/>
        <v>45741</v>
      </c>
      <c r="P98" s="27">
        <f t="shared" si="10"/>
        <v>0</v>
      </c>
      <c r="Q98" s="27">
        <f t="shared" si="11"/>
        <v>0</v>
      </c>
      <c r="R98" s="28" t="s">
        <v>22</v>
      </c>
      <c r="S98" s="21">
        <v>34984</v>
      </c>
      <c r="T98" s="18" t="s">
        <v>23</v>
      </c>
      <c r="U98" s="14"/>
    </row>
    <row r="99" spans="1:21" x14ac:dyDescent="0.2">
      <c r="A99" s="17">
        <v>97</v>
      </c>
      <c r="B99" s="18" t="s">
        <v>466</v>
      </c>
      <c r="C99" s="19" t="s">
        <v>524</v>
      </c>
      <c r="D99" s="20" t="s">
        <v>525</v>
      </c>
      <c r="E99" s="21">
        <v>150000</v>
      </c>
      <c r="F99" s="20" t="s">
        <v>21</v>
      </c>
      <c r="G99" s="20" t="s">
        <v>21</v>
      </c>
      <c r="H99" s="22" t="s">
        <v>186</v>
      </c>
      <c r="I99" s="23" t="s">
        <v>34</v>
      </c>
      <c r="J99" s="24" t="s">
        <v>458</v>
      </c>
      <c r="K99" s="25">
        <f t="shared" si="7"/>
        <v>45718</v>
      </c>
      <c r="L99" s="26" t="str">
        <f t="shared" si="8"/>
        <v>Mar 25</v>
      </c>
      <c r="M99" s="26" t="str">
        <f t="shared" si="9"/>
        <v>2025</v>
      </c>
      <c r="N99" s="23" t="s">
        <v>495</v>
      </c>
      <c r="O99" s="25">
        <f t="shared" si="12"/>
        <v>45737</v>
      </c>
      <c r="P99" s="27">
        <f t="shared" si="10"/>
        <v>0</v>
      </c>
      <c r="Q99" s="27">
        <f t="shared" si="11"/>
        <v>0</v>
      </c>
      <c r="R99" s="28" t="s">
        <v>22</v>
      </c>
      <c r="S99" s="21">
        <v>300</v>
      </c>
      <c r="T99" s="18" t="s">
        <v>23</v>
      </c>
      <c r="U99" s="14"/>
    </row>
    <row r="100" spans="1:21" x14ac:dyDescent="0.2">
      <c r="A100" s="17">
        <v>98</v>
      </c>
      <c r="B100" s="18" t="s">
        <v>466</v>
      </c>
      <c r="C100" s="19" t="s">
        <v>526</v>
      </c>
      <c r="D100" s="20" t="s">
        <v>527</v>
      </c>
      <c r="E100" s="21">
        <v>60000</v>
      </c>
      <c r="F100" s="20" t="s">
        <v>21</v>
      </c>
      <c r="G100" s="20" t="s">
        <v>21</v>
      </c>
      <c r="H100" s="22" t="s">
        <v>140</v>
      </c>
      <c r="I100" s="23" t="s">
        <v>142</v>
      </c>
      <c r="J100" s="24" t="s">
        <v>528</v>
      </c>
      <c r="K100" s="25">
        <f t="shared" si="7"/>
        <v>45729</v>
      </c>
      <c r="L100" s="26" t="str">
        <f t="shared" si="8"/>
        <v>Mar 25</v>
      </c>
      <c r="M100" s="26" t="str">
        <f t="shared" si="9"/>
        <v>2025</v>
      </c>
      <c r="N100" s="23" t="s">
        <v>495</v>
      </c>
      <c r="O100" s="25">
        <f t="shared" si="12"/>
        <v>45737</v>
      </c>
      <c r="P100" s="27">
        <f t="shared" si="10"/>
        <v>0</v>
      </c>
      <c r="Q100" s="27">
        <f t="shared" si="11"/>
        <v>0</v>
      </c>
      <c r="R100" s="28" t="s">
        <v>22</v>
      </c>
      <c r="S100" s="21">
        <v>21402</v>
      </c>
      <c r="T100" s="18" t="s">
        <v>23</v>
      </c>
      <c r="U100" s="14"/>
    </row>
    <row r="101" spans="1:21" ht="28" x14ac:dyDescent="0.2">
      <c r="A101" s="17">
        <v>99</v>
      </c>
      <c r="B101" s="18" t="s">
        <v>529</v>
      </c>
      <c r="C101" s="19" t="s">
        <v>530</v>
      </c>
      <c r="D101" s="30" t="s">
        <v>531</v>
      </c>
      <c r="E101" s="31">
        <v>50000</v>
      </c>
      <c r="F101" s="31" t="s">
        <v>21</v>
      </c>
      <c r="G101" s="31" t="s">
        <v>21</v>
      </c>
      <c r="H101" s="32" t="s">
        <v>188</v>
      </c>
      <c r="I101" s="33" t="s">
        <v>141</v>
      </c>
      <c r="J101" s="24" t="s">
        <v>502</v>
      </c>
      <c r="K101" s="25">
        <f t="shared" si="7"/>
        <v>45736</v>
      </c>
      <c r="L101" s="26" t="str">
        <f t="shared" si="8"/>
        <v>Mar 25</v>
      </c>
      <c r="M101" s="26" t="str">
        <f t="shared" si="9"/>
        <v>2025</v>
      </c>
      <c r="N101" s="23" t="s">
        <v>507</v>
      </c>
      <c r="O101" s="25">
        <f t="shared" si="12"/>
        <v>45741</v>
      </c>
      <c r="P101" s="27">
        <f t="shared" si="10"/>
        <v>0</v>
      </c>
      <c r="Q101" s="27">
        <f t="shared" si="11"/>
        <v>0</v>
      </c>
      <c r="R101" s="28" t="s">
        <v>22</v>
      </c>
      <c r="S101" s="21">
        <v>25290</v>
      </c>
      <c r="T101" s="18" t="s">
        <v>23</v>
      </c>
      <c r="U101" s="14"/>
    </row>
    <row r="102" spans="1:21" ht="57" x14ac:dyDescent="0.2">
      <c r="A102" s="17">
        <v>100</v>
      </c>
      <c r="B102" s="18" t="s">
        <v>532</v>
      </c>
      <c r="C102" s="34" t="s">
        <v>533</v>
      </c>
      <c r="D102" s="30" t="s">
        <v>534</v>
      </c>
      <c r="E102" s="31">
        <v>110000</v>
      </c>
      <c r="F102" s="31" t="s">
        <v>21</v>
      </c>
      <c r="G102" s="31" t="s">
        <v>21</v>
      </c>
      <c r="H102" s="32" t="s">
        <v>535</v>
      </c>
      <c r="I102" s="33" t="s">
        <v>536</v>
      </c>
      <c r="J102" s="35" t="s">
        <v>537</v>
      </c>
      <c r="K102" s="25">
        <f t="shared" si="7"/>
        <v>45548</v>
      </c>
      <c r="L102" s="26" t="str">
        <f t="shared" si="8"/>
        <v>Sep 24</v>
      </c>
      <c r="M102" s="26" t="str">
        <f t="shared" si="9"/>
        <v>2024</v>
      </c>
      <c r="N102" s="36" t="s">
        <v>502</v>
      </c>
      <c r="O102" s="25">
        <f t="shared" si="12"/>
        <v>45736</v>
      </c>
      <c r="P102" s="27">
        <f t="shared" si="10"/>
        <v>6</v>
      </c>
      <c r="Q102" s="27">
        <f t="shared" si="11"/>
        <v>1</v>
      </c>
      <c r="R102" s="47" t="s">
        <v>538</v>
      </c>
      <c r="S102" s="31">
        <v>29250</v>
      </c>
      <c r="T102" s="18" t="s">
        <v>23</v>
      </c>
      <c r="U102" s="14"/>
    </row>
    <row r="103" spans="1:21" ht="28" x14ac:dyDescent="0.2">
      <c r="A103" s="17">
        <v>101</v>
      </c>
      <c r="B103" s="19" t="s">
        <v>539</v>
      </c>
      <c r="C103" s="19" t="s">
        <v>540</v>
      </c>
      <c r="D103" s="30" t="s">
        <v>541</v>
      </c>
      <c r="E103" s="31">
        <v>60000</v>
      </c>
      <c r="F103" s="31" t="s">
        <v>21</v>
      </c>
      <c r="G103" s="31" t="s">
        <v>21</v>
      </c>
      <c r="H103" s="32" t="s">
        <v>140</v>
      </c>
      <c r="I103" s="33" t="s">
        <v>141</v>
      </c>
      <c r="J103" s="35" t="s">
        <v>422</v>
      </c>
      <c r="K103" s="25">
        <f t="shared" si="7"/>
        <v>45717</v>
      </c>
      <c r="L103" s="26" t="str">
        <f t="shared" si="8"/>
        <v>Mar 25</v>
      </c>
      <c r="M103" s="26" t="str">
        <f t="shared" si="9"/>
        <v>2025</v>
      </c>
      <c r="N103" s="36" t="s">
        <v>448</v>
      </c>
      <c r="O103" s="25">
        <f t="shared" si="12"/>
        <v>45744</v>
      </c>
      <c r="P103" s="27">
        <f t="shared" si="10"/>
        <v>0</v>
      </c>
      <c r="Q103" s="27">
        <f t="shared" si="11"/>
        <v>0</v>
      </c>
      <c r="R103" s="47" t="s">
        <v>65</v>
      </c>
      <c r="S103" s="31">
        <v>700</v>
      </c>
      <c r="T103" s="18" t="s">
        <v>23</v>
      </c>
      <c r="U103" s="14"/>
    </row>
    <row r="104" spans="1:21" ht="28" x14ac:dyDescent="0.2">
      <c r="A104" s="17">
        <v>102</v>
      </c>
      <c r="B104" s="18" t="s">
        <v>542</v>
      </c>
      <c r="C104" s="19" t="s">
        <v>543</v>
      </c>
      <c r="D104" s="30" t="s">
        <v>544</v>
      </c>
      <c r="E104" s="31">
        <v>95000</v>
      </c>
      <c r="F104" s="31" t="s">
        <v>21</v>
      </c>
      <c r="G104" s="31" t="s">
        <v>21</v>
      </c>
      <c r="H104" s="32" t="s">
        <v>545</v>
      </c>
      <c r="I104" s="33" t="s">
        <v>369</v>
      </c>
      <c r="J104" s="35" t="s">
        <v>482</v>
      </c>
      <c r="K104" s="25">
        <f t="shared" si="7"/>
        <v>45733</v>
      </c>
      <c r="L104" s="26" t="str">
        <f t="shared" si="8"/>
        <v>Mar 25</v>
      </c>
      <c r="M104" s="26" t="str">
        <f t="shared" si="9"/>
        <v>2025</v>
      </c>
      <c r="N104" s="36" t="s">
        <v>507</v>
      </c>
      <c r="O104" s="25">
        <f t="shared" si="12"/>
        <v>45741</v>
      </c>
      <c r="P104" s="27">
        <f t="shared" si="10"/>
        <v>0</v>
      </c>
      <c r="Q104" s="27">
        <f t="shared" si="11"/>
        <v>0</v>
      </c>
      <c r="R104" s="47" t="s">
        <v>22</v>
      </c>
      <c r="S104" s="31">
        <v>44370</v>
      </c>
      <c r="T104" s="18" t="s">
        <v>23</v>
      </c>
      <c r="U104" s="14"/>
    </row>
    <row r="105" spans="1:21" x14ac:dyDescent="0.2">
      <c r="A105" s="17">
        <v>103</v>
      </c>
      <c r="B105" s="18" t="s">
        <v>546</v>
      </c>
      <c r="C105" s="19" t="s">
        <v>547</v>
      </c>
      <c r="D105" s="20" t="s">
        <v>548</v>
      </c>
      <c r="E105" s="21">
        <v>200000</v>
      </c>
      <c r="F105" s="20" t="s">
        <v>21</v>
      </c>
      <c r="G105" s="20" t="s">
        <v>21</v>
      </c>
      <c r="H105" s="22" t="s">
        <v>383</v>
      </c>
      <c r="I105" s="23" t="s">
        <v>549</v>
      </c>
      <c r="J105" s="35" t="s">
        <v>550</v>
      </c>
      <c r="K105" s="25">
        <f t="shared" si="7"/>
        <v>45710</v>
      </c>
      <c r="L105" s="26" t="str">
        <f t="shared" si="8"/>
        <v>Feb 25</v>
      </c>
      <c r="M105" s="26" t="str">
        <f t="shared" si="9"/>
        <v>2025</v>
      </c>
      <c r="N105" s="36" t="s">
        <v>303</v>
      </c>
      <c r="O105" s="25">
        <f t="shared" si="12"/>
        <v>45747</v>
      </c>
      <c r="P105" s="27">
        <f t="shared" si="10"/>
        <v>1</v>
      </c>
      <c r="Q105" s="27">
        <f t="shared" si="11"/>
        <v>0</v>
      </c>
      <c r="R105" s="47" t="s">
        <v>551</v>
      </c>
      <c r="S105" s="31">
        <v>63370</v>
      </c>
      <c r="T105" s="18" t="s">
        <v>23</v>
      </c>
      <c r="U105" s="14"/>
    </row>
    <row r="106" spans="1:21" x14ac:dyDescent="0.2">
      <c r="A106" s="17">
        <v>104</v>
      </c>
      <c r="B106" s="18" t="s">
        <v>552</v>
      </c>
      <c r="C106" s="19" t="s">
        <v>553</v>
      </c>
      <c r="D106" s="20" t="s">
        <v>554</v>
      </c>
      <c r="E106" s="21">
        <v>70000</v>
      </c>
      <c r="F106" s="20" t="s">
        <v>21</v>
      </c>
      <c r="G106" s="20" t="s">
        <v>21</v>
      </c>
      <c r="H106" s="22" t="s">
        <v>186</v>
      </c>
      <c r="I106" s="23" t="s">
        <v>34</v>
      </c>
      <c r="J106" s="24" t="s">
        <v>519</v>
      </c>
      <c r="K106" s="25">
        <f t="shared" si="7"/>
        <v>45740</v>
      </c>
      <c r="L106" s="26" t="str">
        <f t="shared" si="8"/>
        <v>Mar 25</v>
      </c>
      <c r="M106" s="26" t="str">
        <f t="shared" si="9"/>
        <v>2025</v>
      </c>
      <c r="N106" s="23" t="s">
        <v>507</v>
      </c>
      <c r="O106" s="25">
        <f t="shared" si="12"/>
        <v>45741</v>
      </c>
      <c r="P106" s="27">
        <f t="shared" si="10"/>
        <v>0</v>
      </c>
      <c r="Q106" s="27">
        <f t="shared" si="11"/>
        <v>0</v>
      </c>
      <c r="R106" s="28" t="s">
        <v>22</v>
      </c>
      <c r="S106" s="21">
        <v>23850</v>
      </c>
      <c r="T106" s="18" t="s">
        <v>23</v>
      </c>
      <c r="U106" s="14"/>
    </row>
    <row r="107" spans="1:21" x14ac:dyDescent="0.2">
      <c r="A107" s="17">
        <v>105</v>
      </c>
      <c r="B107" s="18" t="s">
        <v>555</v>
      </c>
      <c r="C107" s="19" t="s">
        <v>556</v>
      </c>
      <c r="D107" s="20" t="s">
        <v>557</v>
      </c>
      <c r="E107" s="21">
        <v>100000</v>
      </c>
      <c r="F107" s="20" t="s">
        <v>21</v>
      </c>
      <c r="G107" s="20" t="s">
        <v>21</v>
      </c>
      <c r="H107" s="22" t="s">
        <v>558</v>
      </c>
      <c r="I107" s="23" t="s">
        <v>111</v>
      </c>
      <c r="J107" s="24" t="s">
        <v>528</v>
      </c>
      <c r="K107" s="25">
        <f t="shared" si="7"/>
        <v>45729</v>
      </c>
      <c r="L107" s="26" t="str">
        <f t="shared" si="8"/>
        <v>Mar 25</v>
      </c>
      <c r="M107" s="26" t="str">
        <f t="shared" si="9"/>
        <v>2025</v>
      </c>
      <c r="N107" s="23" t="s">
        <v>448</v>
      </c>
      <c r="O107" s="25">
        <f t="shared" si="12"/>
        <v>45744</v>
      </c>
      <c r="P107" s="27">
        <f t="shared" si="10"/>
        <v>0</v>
      </c>
      <c r="Q107" s="27">
        <f t="shared" si="11"/>
        <v>0</v>
      </c>
      <c r="R107" s="28" t="s">
        <v>22</v>
      </c>
      <c r="S107" s="21">
        <v>12917</v>
      </c>
      <c r="T107" s="18" t="s">
        <v>23</v>
      </c>
      <c r="U107" s="14"/>
    </row>
    <row r="108" spans="1:21" x14ac:dyDescent="0.2">
      <c r="A108" s="17">
        <v>106</v>
      </c>
      <c r="B108" s="18" t="s">
        <v>559</v>
      </c>
      <c r="C108" s="19" t="s">
        <v>560</v>
      </c>
      <c r="D108" s="20" t="s">
        <v>561</v>
      </c>
      <c r="E108" s="21">
        <v>33000</v>
      </c>
      <c r="F108" s="20" t="s">
        <v>21</v>
      </c>
      <c r="G108" s="20" t="s">
        <v>21</v>
      </c>
      <c r="H108" s="22" t="s">
        <v>369</v>
      </c>
      <c r="I108" s="23" t="s">
        <v>303</v>
      </c>
      <c r="J108" s="24" t="s">
        <v>562</v>
      </c>
      <c r="K108" s="25">
        <f t="shared" si="7"/>
        <v>45724</v>
      </c>
      <c r="L108" s="26" t="str">
        <f t="shared" si="8"/>
        <v>Mar 25</v>
      </c>
      <c r="M108" s="26" t="str">
        <f t="shared" si="9"/>
        <v>2025</v>
      </c>
      <c r="N108" s="23" t="s">
        <v>563</v>
      </c>
      <c r="O108" s="25">
        <f t="shared" si="12"/>
        <v>45750</v>
      </c>
      <c r="P108" s="27">
        <f t="shared" si="10"/>
        <v>0</v>
      </c>
      <c r="Q108" s="27">
        <f t="shared" si="11"/>
        <v>0</v>
      </c>
      <c r="R108" s="17" t="s">
        <v>22</v>
      </c>
      <c r="S108" s="21">
        <v>14998.5</v>
      </c>
      <c r="T108" s="18" t="s">
        <v>23</v>
      </c>
      <c r="U108" s="14"/>
    </row>
    <row r="109" spans="1:21" x14ac:dyDescent="0.2">
      <c r="A109" s="17">
        <v>107</v>
      </c>
      <c r="B109" s="18" t="s">
        <v>564</v>
      </c>
      <c r="C109" s="19" t="s">
        <v>565</v>
      </c>
      <c r="D109" s="20" t="s">
        <v>566</v>
      </c>
      <c r="E109" s="21">
        <v>40000</v>
      </c>
      <c r="F109" s="20" t="s">
        <v>21</v>
      </c>
      <c r="G109" s="20" t="s">
        <v>21</v>
      </c>
      <c r="H109" s="22" t="s">
        <v>288</v>
      </c>
      <c r="I109" s="23" t="s">
        <v>549</v>
      </c>
      <c r="J109" s="24" t="s">
        <v>519</v>
      </c>
      <c r="K109" s="25">
        <f t="shared" si="7"/>
        <v>45740</v>
      </c>
      <c r="L109" s="26" t="str">
        <f t="shared" si="8"/>
        <v>Mar 25</v>
      </c>
      <c r="M109" s="26" t="str">
        <f t="shared" si="9"/>
        <v>2025</v>
      </c>
      <c r="N109" s="23" t="s">
        <v>369</v>
      </c>
      <c r="O109" s="25">
        <f t="shared" si="12"/>
        <v>45748</v>
      </c>
      <c r="P109" s="27">
        <f t="shared" si="10"/>
        <v>0</v>
      </c>
      <c r="Q109" s="27">
        <f t="shared" si="11"/>
        <v>0</v>
      </c>
      <c r="R109" s="28" t="s">
        <v>22</v>
      </c>
      <c r="S109" s="21">
        <v>23220</v>
      </c>
      <c r="T109" s="18" t="s">
        <v>23</v>
      </c>
      <c r="U109" s="14"/>
    </row>
    <row r="110" spans="1:21" x14ac:dyDescent="0.2">
      <c r="A110" s="17">
        <v>108</v>
      </c>
      <c r="B110" s="18" t="s">
        <v>567</v>
      </c>
      <c r="C110" s="19" t="s">
        <v>568</v>
      </c>
      <c r="D110" s="20" t="s">
        <v>569</v>
      </c>
      <c r="E110" s="21">
        <v>100000</v>
      </c>
      <c r="F110" s="20" t="s">
        <v>570</v>
      </c>
      <c r="G110" s="20" t="s">
        <v>21</v>
      </c>
      <c r="H110" s="22" t="s">
        <v>311</v>
      </c>
      <c r="I110" s="23" t="s">
        <v>571</v>
      </c>
      <c r="J110" s="24" t="s">
        <v>486</v>
      </c>
      <c r="K110" s="25">
        <f t="shared" si="7"/>
        <v>45735</v>
      </c>
      <c r="L110" s="26" t="str">
        <f t="shared" si="8"/>
        <v>Mar 25</v>
      </c>
      <c r="M110" s="26" t="str">
        <f t="shared" si="9"/>
        <v>2025</v>
      </c>
      <c r="N110" s="23" t="s">
        <v>512</v>
      </c>
      <c r="O110" s="25">
        <f t="shared" si="12"/>
        <v>45743</v>
      </c>
      <c r="P110" s="27">
        <f t="shared" si="10"/>
        <v>0</v>
      </c>
      <c r="Q110" s="27">
        <f t="shared" si="11"/>
        <v>0</v>
      </c>
      <c r="R110" s="28" t="s">
        <v>22</v>
      </c>
      <c r="S110" s="21">
        <v>34110</v>
      </c>
      <c r="T110" s="18" t="s">
        <v>23</v>
      </c>
      <c r="U110" s="14"/>
    </row>
    <row r="111" spans="1:21" x14ac:dyDescent="0.2">
      <c r="A111" s="17">
        <v>109</v>
      </c>
      <c r="B111" s="18" t="s">
        <v>572</v>
      </c>
      <c r="C111" s="19" t="s">
        <v>573</v>
      </c>
      <c r="D111" s="20" t="s">
        <v>574</v>
      </c>
      <c r="E111" s="21">
        <v>80000</v>
      </c>
      <c r="F111" s="20" t="s">
        <v>21</v>
      </c>
      <c r="G111" s="20" t="s">
        <v>21</v>
      </c>
      <c r="H111" s="22" t="s">
        <v>575</v>
      </c>
      <c r="I111" s="23" t="s">
        <v>576</v>
      </c>
      <c r="J111" s="24" t="s">
        <v>577</v>
      </c>
      <c r="K111" s="25">
        <f t="shared" si="7"/>
        <v>45738</v>
      </c>
      <c r="L111" s="26" t="str">
        <f t="shared" si="8"/>
        <v>Mar 25</v>
      </c>
      <c r="M111" s="26" t="str">
        <f t="shared" si="9"/>
        <v>2025</v>
      </c>
      <c r="N111" s="23" t="s">
        <v>578</v>
      </c>
      <c r="O111" s="25">
        <f t="shared" si="12"/>
        <v>45755</v>
      </c>
      <c r="P111" s="27">
        <f t="shared" si="10"/>
        <v>0</v>
      </c>
      <c r="Q111" s="27">
        <f t="shared" si="11"/>
        <v>0</v>
      </c>
      <c r="R111" s="28" t="s">
        <v>22</v>
      </c>
      <c r="S111" s="21">
        <v>72000</v>
      </c>
      <c r="T111" s="18" t="s">
        <v>23</v>
      </c>
      <c r="U111" s="14"/>
    </row>
    <row r="112" spans="1:21" x14ac:dyDescent="0.2">
      <c r="A112" s="17">
        <v>110</v>
      </c>
      <c r="B112" s="18" t="s">
        <v>579</v>
      </c>
      <c r="C112" s="19" t="s">
        <v>580</v>
      </c>
      <c r="D112" s="20" t="s">
        <v>581</v>
      </c>
      <c r="E112" s="21">
        <v>140000</v>
      </c>
      <c r="F112" s="20" t="s">
        <v>21</v>
      </c>
      <c r="G112" s="20" t="s">
        <v>21</v>
      </c>
      <c r="H112" s="22" t="s">
        <v>140</v>
      </c>
      <c r="I112" s="23" t="s">
        <v>141</v>
      </c>
      <c r="J112" s="24" t="s">
        <v>495</v>
      </c>
      <c r="K112" s="25">
        <f t="shared" si="7"/>
        <v>45737</v>
      </c>
      <c r="L112" s="26" t="str">
        <f t="shared" si="8"/>
        <v>Mar 25</v>
      </c>
      <c r="M112" s="26" t="str">
        <f t="shared" si="9"/>
        <v>2025</v>
      </c>
      <c r="N112" s="23" t="s">
        <v>582</v>
      </c>
      <c r="O112" s="25">
        <f t="shared" si="12"/>
        <v>45757</v>
      </c>
      <c r="P112" s="27">
        <f t="shared" si="10"/>
        <v>0</v>
      </c>
      <c r="Q112" s="27">
        <f t="shared" si="11"/>
        <v>0</v>
      </c>
      <c r="R112" s="28" t="s">
        <v>22</v>
      </c>
      <c r="S112" s="21">
        <v>65250</v>
      </c>
      <c r="T112" s="18" t="s">
        <v>23</v>
      </c>
      <c r="U112" s="14"/>
    </row>
    <row r="113" spans="1:21" x14ac:dyDescent="0.2">
      <c r="A113" s="17">
        <v>111</v>
      </c>
      <c r="B113" s="18" t="s">
        <v>583</v>
      </c>
      <c r="C113" s="19" t="s">
        <v>584</v>
      </c>
      <c r="D113" s="20" t="s">
        <v>585</v>
      </c>
      <c r="E113" s="21">
        <v>120000</v>
      </c>
      <c r="F113" s="20" t="s">
        <v>21</v>
      </c>
      <c r="G113" s="20" t="s">
        <v>21</v>
      </c>
      <c r="H113" s="22" t="s">
        <v>140</v>
      </c>
      <c r="I113" s="23" t="s">
        <v>141</v>
      </c>
      <c r="J113" s="24" t="s">
        <v>368</v>
      </c>
      <c r="K113" s="25">
        <f t="shared" si="7"/>
        <v>45749</v>
      </c>
      <c r="L113" s="26" t="str">
        <f t="shared" si="8"/>
        <v>Apr 25</v>
      </c>
      <c r="M113" s="26" t="str">
        <f t="shared" si="9"/>
        <v>2025</v>
      </c>
      <c r="N113" s="23" t="s">
        <v>293</v>
      </c>
      <c r="O113" s="25">
        <f t="shared" si="12"/>
        <v>45698</v>
      </c>
      <c r="P113" s="27" t="e">
        <f t="shared" si="10"/>
        <v>#NUM!</v>
      </c>
      <c r="Q113" s="27">
        <f t="shared" si="11"/>
        <v>0</v>
      </c>
      <c r="R113" s="28" t="s">
        <v>22</v>
      </c>
      <c r="S113" s="21">
        <v>108000</v>
      </c>
      <c r="T113" s="18" t="s">
        <v>23</v>
      </c>
      <c r="U113" s="14"/>
    </row>
    <row r="114" spans="1:21" x14ac:dyDescent="0.2">
      <c r="A114" s="17">
        <v>112</v>
      </c>
      <c r="B114" s="18" t="s">
        <v>586</v>
      </c>
      <c r="C114" s="19" t="s">
        <v>587</v>
      </c>
      <c r="D114" s="20" t="s">
        <v>588</v>
      </c>
      <c r="E114" s="21">
        <v>130000</v>
      </c>
      <c r="F114" s="20" t="s">
        <v>21</v>
      </c>
      <c r="G114" s="20" t="s">
        <v>21</v>
      </c>
      <c r="H114" s="22" t="s">
        <v>140</v>
      </c>
      <c r="I114" s="23" t="s">
        <v>141</v>
      </c>
      <c r="J114" s="24" t="s">
        <v>589</v>
      </c>
      <c r="K114" s="25">
        <f t="shared" si="7"/>
        <v>45742</v>
      </c>
      <c r="L114" s="26" t="str">
        <f t="shared" si="8"/>
        <v>Mar 25</v>
      </c>
      <c r="M114" s="26" t="str">
        <f t="shared" si="9"/>
        <v>2025</v>
      </c>
      <c r="N114" s="23" t="s">
        <v>536</v>
      </c>
      <c r="O114" s="25">
        <f t="shared" si="12"/>
        <v>45751</v>
      </c>
      <c r="P114" s="27">
        <f t="shared" si="10"/>
        <v>0</v>
      </c>
      <c r="Q114" s="27">
        <f t="shared" si="11"/>
        <v>0</v>
      </c>
      <c r="R114" s="28" t="s">
        <v>22</v>
      </c>
      <c r="S114" s="21">
        <v>92000</v>
      </c>
      <c r="T114" s="18" t="s">
        <v>23</v>
      </c>
      <c r="U114" s="14"/>
    </row>
    <row r="115" spans="1:21" x14ac:dyDescent="0.2">
      <c r="A115" s="17">
        <v>113</v>
      </c>
      <c r="B115" s="18" t="s">
        <v>590</v>
      </c>
      <c r="C115" s="19" t="s">
        <v>591</v>
      </c>
      <c r="D115" s="20" t="s">
        <v>592</v>
      </c>
      <c r="E115" s="21">
        <v>739500</v>
      </c>
      <c r="F115" s="20" t="s">
        <v>21</v>
      </c>
      <c r="G115" s="20" t="s">
        <v>21</v>
      </c>
      <c r="H115" s="22" t="s">
        <v>593</v>
      </c>
      <c r="I115" s="23" t="s">
        <v>594</v>
      </c>
      <c r="J115" s="24" t="s">
        <v>595</v>
      </c>
      <c r="K115" s="25">
        <f t="shared" si="7"/>
        <v>45690</v>
      </c>
      <c r="L115" s="26" t="str">
        <f t="shared" si="8"/>
        <v>Feb 25</v>
      </c>
      <c r="M115" s="26" t="str">
        <f t="shared" si="9"/>
        <v>2025</v>
      </c>
      <c r="N115" s="23" t="s">
        <v>596</v>
      </c>
      <c r="O115" s="25">
        <f t="shared" si="12"/>
        <v>45761</v>
      </c>
      <c r="P115" s="27">
        <f t="shared" si="10"/>
        <v>2</v>
      </c>
      <c r="Q115" s="27">
        <f t="shared" si="11"/>
        <v>0</v>
      </c>
      <c r="R115" s="28" t="s">
        <v>597</v>
      </c>
      <c r="S115" s="21">
        <v>90900</v>
      </c>
      <c r="T115" s="18" t="s">
        <v>23</v>
      </c>
      <c r="U115" s="14"/>
    </row>
    <row r="116" spans="1:21" x14ac:dyDescent="0.2">
      <c r="A116" s="17">
        <v>114</v>
      </c>
      <c r="B116" s="18" t="s">
        <v>590</v>
      </c>
      <c r="C116" s="19" t="s">
        <v>598</v>
      </c>
      <c r="D116" s="20" t="s">
        <v>599</v>
      </c>
      <c r="E116" s="21">
        <v>591000</v>
      </c>
      <c r="F116" s="20" t="s">
        <v>21</v>
      </c>
      <c r="G116" s="20" t="s">
        <v>21</v>
      </c>
      <c r="H116" s="22" t="s">
        <v>140</v>
      </c>
      <c r="I116" s="23" t="s">
        <v>141</v>
      </c>
      <c r="J116" s="24" t="s">
        <v>341</v>
      </c>
      <c r="K116" s="25">
        <f t="shared" si="7"/>
        <v>45707</v>
      </c>
      <c r="L116" s="26" t="str">
        <f t="shared" si="8"/>
        <v>Feb 25</v>
      </c>
      <c r="M116" s="26" t="str">
        <f t="shared" si="9"/>
        <v>2025</v>
      </c>
      <c r="N116" s="23" t="s">
        <v>600</v>
      </c>
      <c r="O116" s="25">
        <f t="shared" si="12"/>
        <v>38453</v>
      </c>
      <c r="P116" s="27" t="e">
        <f t="shared" si="10"/>
        <v>#NUM!</v>
      </c>
      <c r="Q116" s="27">
        <f t="shared" si="11"/>
        <v>-20</v>
      </c>
      <c r="R116" s="28" t="s">
        <v>22</v>
      </c>
      <c r="S116" s="21">
        <v>124200</v>
      </c>
      <c r="T116" s="18" t="s">
        <v>23</v>
      </c>
      <c r="U116" s="14"/>
    </row>
    <row r="117" spans="1:21" x14ac:dyDescent="0.2">
      <c r="A117" s="17">
        <v>115</v>
      </c>
      <c r="B117" s="18" t="s">
        <v>601</v>
      </c>
      <c r="C117" s="19" t="s">
        <v>602</v>
      </c>
      <c r="D117" s="20" t="s">
        <v>603</v>
      </c>
      <c r="E117" s="21">
        <v>300000</v>
      </c>
      <c r="F117" s="20" t="s">
        <v>604</v>
      </c>
      <c r="G117" s="20" t="s">
        <v>21</v>
      </c>
      <c r="H117" s="22" t="s">
        <v>605</v>
      </c>
      <c r="I117" s="23" t="s">
        <v>606</v>
      </c>
      <c r="J117" s="24" t="s">
        <v>536</v>
      </c>
      <c r="K117" s="25">
        <f t="shared" si="7"/>
        <v>45751</v>
      </c>
      <c r="L117" s="26" t="str">
        <f t="shared" si="8"/>
        <v>Apr 25</v>
      </c>
      <c r="M117" s="26" t="str">
        <f t="shared" si="9"/>
        <v>2025</v>
      </c>
      <c r="N117" s="23" t="s">
        <v>607</v>
      </c>
      <c r="O117" s="25">
        <f t="shared" si="12"/>
        <v>45762</v>
      </c>
      <c r="P117" s="27">
        <f t="shared" si="10"/>
        <v>0</v>
      </c>
      <c r="Q117" s="27">
        <f t="shared" si="11"/>
        <v>0</v>
      </c>
      <c r="R117" s="28" t="s">
        <v>22</v>
      </c>
      <c r="S117" s="21">
        <v>27000</v>
      </c>
      <c r="T117" s="18" t="s">
        <v>23</v>
      </c>
      <c r="U117" s="14"/>
    </row>
    <row r="118" spans="1:21" x14ac:dyDescent="0.2">
      <c r="A118" s="17">
        <v>116</v>
      </c>
      <c r="B118" s="18" t="s">
        <v>608</v>
      </c>
      <c r="C118" s="19" t="s">
        <v>609</v>
      </c>
      <c r="D118" s="20" t="s">
        <v>610</v>
      </c>
      <c r="E118" s="21">
        <v>90000</v>
      </c>
      <c r="F118" s="20" t="s">
        <v>21</v>
      </c>
      <c r="G118" s="20" t="s">
        <v>21</v>
      </c>
      <c r="H118" s="22" t="s">
        <v>545</v>
      </c>
      <c r="I118" s="23" t="s">
        <v>611</v>
      </c>
      <c r="J118" s="24" t="s">
        <v>612</v>
      </c>
      <c r="K118" s="25">
        <f t="shared" si="7"/>
        <v>45752</v>
      </c>
      <c r="L118" s="26" t="str">
        <f t="shared" si="8"/>
        <v>Apr 25</v>
      </c>
      <c r="M118" s="26" t="str">
        <f t="shared" si="9"/>
        <v>2025</v>
      </c>
      <c r="N118" s="23" t="s">
        <v>582</v>
      </c>
      <c r="O118" s="25">
        <f t="shared" si="12"/>
        <v>45757</v>
      </c>
      <c r="P118" s="27">
        <f t="shared" si="10"/>
        <v>0</v>
      </c>
      <c r="Q118" s="27">
        <f t="shared" si="11"/>
        <v>0</v>
      </c>
      <c r="R118" s="28" t="s">
        <v>65</v>
      </c>
      <c r="S118" s="21">
        <v>6681.4</v>
      </c>
      <c r="T118" s="18" t="s">
        <v>23</v>
      </c>
      <c r="U118" s="14"/>
    </row>
    <row r="119" spans="1:21" x14ac:dyDescent="0.2">
      <c r="A119" s="17">
        <v>117</v>
      </c>
      <c r="B119" s="18" t="s">
        <v>590</v>
      </c>
      <c r="C119" s="19" t="s">
        <v>613</v>
      </c>
      <c r="D119" s="20" t="s">
        <v>614</v>
      </c>
      <c r="E119" s="21">
        <v>110000</v>
      </c>
      <c r="F119" s="20" t="s">
        <v>615</v>
      </c>
      <c r="G119" s="20" t="s">
        <v>21</v>
      </c>
      <c r="H119" s="22" t="s">
        <v>140</v>
      </c>
      <c r="I119" s="23">
        <v>3112.2024999999999</v>
      </c>
      <c r="J119" s="24" t="s">
        <v>448</v>
      </c>
      <c r="K119" s="25">
        <f t="shared" si="7"/>
        <v>45744</v>
      </c>
      <c r="L119" s="26" t="str">
        <f t="shared" si="8"/>
        <v>Mar 25</v>
      </c>
      <c r="M119" s="26" t="str">
        <f t="shared" si="9"/>
        <v>2025</v>
      </c>
      <c r="N119" s="23" t="s">
        <v>576</v>
      </c>
      <c r="O119" s="25">
        <f t="shared" si="12"/>
        <v>45769</v>
      </c>
      <c r="P119" s="27">
        <f t="shared" si="10"/>
        <v>0</v>
      </c>
      <c r="Q119" s="27">
        <f t="shared" si="11"/>
        <v>0</v>
      </c>
      <c r="R119" s="28" t="s">
        <v>22</v>
      </c>
      <c r="S119" s="21">
        <v>7200</v>
      </c>
      <c r="T119" s="18" t="s">
        <v>23</v>
      </c>
      <c r="U119" s="14"/>
    </row>
    <row r="120" spans="1:21" x14ac:dyDescent="0.2">
      <c r="A120" s="17">
        <v>118</v>
      </c>
      <c r="B120" s="18" t="s">
        <v>616</v>
      </c>
      <c r="C120" s="19" t="s">
        <v>617</v>
      </c>
      <c r="D120" s="20" t="s">
        <v>618</v>
      </c>
      <c r="E120" s="21">
        <v>50000</v>
      </c>
      <c r="F120" s="20" t="s">
        <v>619</v>
      </c>
      <c r="G120" s="20" t="s">
        <v>21</v>
      </c>
      <c r="H120" s="22" t="s">
        <v>369</v>
      </c>
      <c r="I120" s="23" t="s">
        <v>620</v>
      </c>
      <c r="J120" s="24" t="s">
        <v>607</v>
      </c>
      <c r="K120" s="25">
        <f t="shared" si="7"/>
        <v>45762</v>
      </c>
      <c r="L120" s="26" t="str">
        <f t="shared" si="8"/>
        <v>Apr 25</v>
      </c>
      <c r="M120" s="26" t="str">
        <f t="shared" si="9"/>
        <v>2025</v>
      </c>
      <c r="N120" s="23" t="s">
        <v>576</v>
      </c>
      <c r="O120" s="25">
        <f t="shared" si="12"/>
        <v>45769</v>
      </c>
      <c r="P120" s="27">
        <f t="shared" si="10"/>
        <v>0</v>
      </c>
      <c r="Q120" s="27">
        <f t="shared" si="11"/>
        <v>0</v>
      </c>
      <c r="R120" s="28" t="s">
        <v>22</v>
      </c>
      <c r="S120" s="21">
        <v>18729</v>
      </c>
      <c r="T120" s="18" t="s">
        <v>23</v>
      </c>
      <c r="U120" s="14"/>
    </row>
    <row r="121" spans="1:21" x14ac:dyDescent="0.2">
      <c r="A121" s="17">
        <v>119</v>
      </c>
      <c r="B121" s="18" t="s">
        <v>621</v>
      </c>
      <c r="C121" s="19" t="s">
        <v>622</v>
      </c>
      <c r="D121" s="20" t="s">
        <v>623</v>
      </c>
      <c r="E121" s="21">
        <v>80000</v>
      </c>
      <c r="F121" s="20" t="s">
        <v>21</v>
      </c>
      <c r="G121" s="20" t="s">
        <v>21</v>
      </c>
      <c r="H121" s="22" t="s">
        <v>624</v>
      </c>
      <c r="I121" s="23" t="s">
        <v>578</v>
      </c>
      <c r="J121" s="24" t="s">
        <v>519</v>
      </c>
      <c r="K121" s="25">
        <f t="shared" si="7"/>
        <v>45740</v>
      </c>
      <c r="L121" s="26" t="str">
        <f t="shared" si="8"/>
        <v>Mar 25</v>
      </c>
      <c r="M121" s="26" t="str">
        <f t="shared" si="9"/>
        <v>2025</v>
      </c>
      <c r="N121" s="23" t="s">
        <v>576</v>
      </c>
      <c r="O121" s="25">
        <f t="shared" si="12"/>
        <v>45769</v>
      </c>
      <c r="P121" s="27">
        <f t="shared" si="10"/>
        <v>0</v>
      </c>
      <c r="Q121" s="27">
        <f t="shared" si="11"/>
        <v>0</v>
      </c>
      <c r="R121" s="28" t="s">
        <v>22</v>
      </c>
      <c r="S121" s="21">
        <v>4760</v>
      </c>
      <c r="T121" s="18" t="s">
        <v>23</v>
      </c>
      <c r="U121" s="14"/>
    </row>
    <row r="122" spans="1:21" x14ac:dyDescent="0.2">
      <c r="A122" s="17">
        <v>120</v>
      </c>
      <c r="B122" s="18" t="s">
        <v>625</v>
      </c>
      <c r="C122" s="19" t="s">
        <v>626</v>
      </c>
      <c r="D122" s="20" t="s">
        <v>627</v>
      </c>
      <c r="E122" s="21">
        <v>280000</v>
      </c>
      <c r="F122" s="20" t="s">
        <v>21</v>
      </c>
      <c r="G122" s="20" t="s">
        <v>21</v>
      </c>
      <c r="H122" s="22" t="s">
        <v>628</v>
      </c>
      <c r="I122" s="23" t="s">
        <v>629</v>
      </c>
      <c r="J122" s="24" t="s">
        <v>607</v>
      </c>
      <c r="K122" s="25">
        <f t="shared" si="7"/>
        <v>45762</v>
      </c>
      <c r="L122" s="26" t="str">
        <f t="shared" si="8"/>
        <v>Apr 25</v>
      </c>
      <c r="M122" s="26" t="str">
        <f t="shared" si="9"/>
        <v>2025</v>
      </c>
      <c r="N122" s="23" t="s">
        <v>630</v>
      </c>
      <c r="O122" s="25">
        <f t="shared" si="12"/>
        <v>45776</v>
      </c>
      <c r="P122" s="27">
        <f t="shared" si="10"/>
        <v>0</v>
      </c>
      <c r="Q122" s="27">
        <f t="shared" si="11"/>
        <v>0</v>
      </c>
      <c r="R122" s="28" t="s">
        <v>22</v>
      </c>
      <c r="S122" s="21">
        <v>225000</v>
      </c>
      <c r="T122" s="18" t="s">
        <v>23</v>
      </c>
      <c r="U122" s="14"/>
    </row>
    <row r="123" spans="1:21" x14ac:dyDescent="0.2">
      <c r="A123" s="17">
        <v>121</v>
      </c>
      <c r="B123" s="18" t="s">
        <v>625</v>
      </c>
      <c r="C123" s="19" t="s">
        <v>626</v>
      </c>
      <c r="D123" s="20" t="s">
        <v>627</v>
      </c>
      <c r="E123" s="21">
        <v>280000</v>
      </c>
      <c r="F123" s="20" t="s">
        <v>21</v>
      </c>
      <c r="G123" s="20" t="s">
        <v>21</v>
      </c>
      <c r="H123" s="22" t="s">
        <v>628</v>
      </c>
      <c r="I123" s="23" t="s">
        <v>629</v>
      </c>
      <c r="J123" s="24" t="s">
        <v>607</v>
      </c>
      <c r="K123" s="25">
        <f t="shared" si="7"/>
        <v>45762</v>
      </c>
      <c r="L123" s="26" t="str">
        <f t="shared" si="8"/>
        <v>Apr 25</v>
      </c>
      <c r="M123" s="26" t="str">
        <f t="shared" si="9"/>
        <v>2025</v>
      </c>
      <c r="N123" s="23" t="s">
        <v>607</v>
      </c>
      <c r="O123" s="25">
        <f t="shared" si="12"/>
        <v>45762</v>
      </c>
      <c r="P123" s="27">
        <f t="shared" si="10"/>
        <v>0</v>
      </c>
      <c r="Q123" s="27">
        <f t="shared" si="11"/>
        <v>0</v>
      </c>
      <c r="R123" s="28" t="s">
        <v>22</v>
      </c>
      <c r="S123" s="21">
        <v>140000</v>
      </c>
      <c r="T123" s="18" t="s">
        <v>23</v>
      </c>
      <c r="U123" s="14"/>
    </row>
    <row r="124" spans="1:21" x14ac:dyDescent="0.2">
      <c r="A124" s="17">
        <v>122</v>
      </c>
      <c r="B124" s="18" t="s">
        <v>631</v>
      </c>
      <c r="C124" s="19" t="s">
        <v>632</v>
      </c>
      <c r="D124" s="20" t="s">
        <v>633</v>
      </c>
      <c r="E124" s="21">
        <v>150000</v>
      </c>
      <c r="F124" s="20" t="s">
        <v>634</v>
      </c>
      <c r="G124" s="20" t="s">
        <v>21</v>
      </c>
      <c r="H124" s="22" t="s">
        <v>135</v>
      </c>
      <c r="I124" s="23" t="s">
        <v>635</v>
      </c>
      <c r="J124" s="24" t="s">
        <v>636</v>
      </c>
      <c r="K124" s="25">
        <f t="shared" si="7"/>
        <v>45753</v>
      </c>
      <c r="L124" s="26" t="str">
        <f t="shared" si="8"/>
        <v>Apr 25</v>
      </c>
      <c r="M124" s="26" t="str">
        <f t="shared" si="9"/>
        <v>2025</v>
      </c>
      <c r="N124" s="23" t="s">
        <v>576</v>
      </c>
      <c r="O124" s="25">
        <f t="shared" si="12"/>
        <v>45769</v>
      </c>
      <c r="P124" s="27">
        <f t="shared" si="10"/>
        <v>0</v>
      </c>
      <c r="Q124" s="27">
        <f t="shared" si="11"/>
        <v>0</v>
      </c>
      <c r="R124" s="28" t="s">
        <v>637</v>
      </c>
      <c r="S124" s="21">
        <v>0</v>
      </c>
      <c r="T124" s="18" t="s">
        <v>23</v>
      </c>
      <c r="U124" s="14"/>
    </row>
    <row r="125" spans="1:21" x14ac:dyDescent="0.2">
      <c r="A125" s="17">
        <v>123</v>
      </c>
      <c r="B125" s="18" t="s">
        <v>638</v>
      </c>
      <c r="C125" s="19" t="s">
        <v>639</v>
      </c>
      <c r="D125" s="20" t="s">
        <v>640</v>
      </c>
      <c r="E125" s="21">
        <v>130000</v>
      </c>
      <c r="F125" s="20" t="s">
        <v>21</v>
      </c>
      <c r="G125" s="20" t="s">
        <v>21</v>
      </c>
      <c r="H125" s="22" t="s">
        <v>110</v>
      </c>
      <c r="I125" s="23" t="s">
        <v>111</v>
      </c>
      <c r="J125" s="24" t="s">
        <v>105</v>
      </c>
      <c r="K125" s="25">
        <f t="shared" si="7"/>
        <v>45766</v>
      </c>
      <c r="L125" s="26" t="str">
        <f t="shared" si="8"/>
        <v>Apr 25</v>
      </c>
      <c r="M125" s="26" t="str">
        <f t="shared" si="9"/>
        <v>2025</v>
      </c>
      <c r="N125" s="23" t="s">
        <v>641</v>
      </c>
      <c r="O125" s="25">
        <f t="shared" si="12"/>
        <v>45772</v>
      </c>
      <c r="P125" s="27">
        <f t="shared" si="10"/>
        <v>0</v>
      </c>
      <c r="Q125" s="27">
        <f t="shared" si="11"/>
        <v>0</v>
      </c>
      <c r="R125" s="28" t="s">
        <v>22</v>
      </c>
      <c r="S125" s="21">
        <v>3780</v>
      </c>
      <c r="T125" s="18" t="s">
        <v>23</v>
      </c>
      <c r="U125" s="14"/>
    </row>
    <row r="126" spans="1:21" x14ac:dyDescent="0.2">
      <c r="A126" s="17">
        <v>124</v>
      </c>
      <c r="B126" s="18" t="s">
        <v>642</v>
      </c>
      <c r="C126" s="19" t="s">
        <v>643</v>
      </c>
      <c r="D126" s="20" t="s">
        <v>640</v>
      </c>
      <c r="E126" s="21" t="s">
        <v>374</v>
      </c>
      <c r="F126" s="20" t="s">
        <v>644</v>
      </c>
      <c r="G126" s="20" t="s">
        <v>21</v>
      </c>
      <c r="H126" s="22" t="s">
        <v>370</v>
      </c>
      <c r="I126" s="23" t="s">
        <v>645</v>
      </c>
      <c r="J126" s="24" t="s">
        <v>646</v>
      </c>
      <c r="K126" s="25">
        <f t="shared" si="7"/>
        <v>45739</v>
      </c>
      <c r="L126" s="26" t="str">
        <f t="shared" si="8"/>
        <v>Mar 25</v>
      </c>
      <c r="M126" s="26" t="str">
        <f t="shared" si="9"/>
        <v>2025</v>
      </c>
      <c r="N126" s="23" t="s">
        <v>647</v>
      </c>
      <c r="O126" s="25">
        <f t="shared" si="12"/>
        <v>45806</v>
      </c>
      <c r="P126" s="27">
        <f t="shared" si="10"/>
        <v>2</v>
      </c>
      <c r="Q126" s="27">
        <f t="shared" si="11"/>
        <v>0</v>
      </c>
      <c r="R126" s="28" t="s">
        <v>22</v>
      </c>
      <c r="S126" s="21">
        <v>27000</v>
      </c>
      <c r="T126" s="18" t="s">
        <v>23</v>
      </c>
      <c r="U126" s="14"/>
    </row>
    <row r="127" spans="1:21" x14ac:dyDescent="0.2">
      <c r="A127" s="17">
        <v>125</v>
      </c>
      <c r="B127" s="18" t="s">
        <v>648</v>
      </c>
      <c r="C127" s="19" t="s">
        <v>649</v>
      </c>
      <c r="D127" s="20" t="s">
        <v>650</v>
      </c>
      <c r="E127" s="21">
        <v>120000</v>
      </c>
      <c r="F127" s="20" t="s">
        <v>651</v>
      </c>
      <c r="G127" s="20" t="s">
        <v>21</v>
      </c>
      <c r="H127" s="22" t="s">
        <v>140</v>
      </c>
      <c r="I127" s="23" t="s">
        <v>141</v>
      </c>
      <c r="J127" s="24" t="s">
        <v>652</v>
      </c>
      <c r="K127" s="25">
        <f t="shared" si="7"/>
        <v>45767</v>
      </c>
      <c r="L127" s="26" t="str">
        <f t="shared" si="8"/>
        <v>Apr 25</v>
      </c>
      <c r="M127" s="26" t="str">
        <f t="shared" si="9"/>
        <v>2025</v>
      </c>
      <c r="N127" s="23" t="s">
        <v>653</v>
      </c>
      <c r="O127" s="25">
        <f t="shared" si="12"/>
        <v>45771</v>
      </c>
      <c r="P127" s="27">
        <f t="shared" si="10"/>
        <v>0</v>
      </c>
      <c r="Q127" s="27">
        <f t="shared" si="11"/>
        <v>0</v>
      </c>
      <c r="R127" s="28" t="s">
        <v>22</v>
      </c>
      <c r="S127" s="21">
        <v>42030</v>
      </c>
      <c r="T127" s="18" t="s">
        <v>23</v>
      </c>
      <c r="U127" s="14"/>
    </row>
    <row r="128" spans="1:21" x14ac:dyDescent="0.2">
      <c r="A128" s="17">
        <v>126</v>
      </c>
      <c r="B128" s="18" t="s">
        <v>654</v>
      </c>
      <c r="C128" s="19" t="s">
        <v>655</v>
      </c>
      <c r="D128" s="20" t="s">
        <v>656</v>
      </c>
      <c r="E128" s="21">
        <v>40000</v>
      </c>
      <c r="F128" s="20" t="s">
        <v>21</v>
      </c>
      <c r="G128" s="20" t="s">
        <v>21</v>
      </c>
      <c r="H128" s="22" t="s">
        <v>537</v>
      </c>
      <c r="I128" s="23" t="s">
        <v>657</v>
      </c>
      <c r="J128" s="24" t="s">
        <v>596</v>
      </c>
      <c r="K128" s="25">
        <f t="shared" si="7"/>
        <v>45761</v>
      </c>
      <c r="L128" s="26" t="str">
        <f t="shared" si="8"/>
        <v>Apr 25</v>
      </c>
      <c r="M128" s="26" t="str">
        <f t="shared" si="9"/>
        <v>2025</v>
      </c>
      <c r="N128" s="23" t="s">
        <v>652</v>
      </c>
      <c r="O128" s="25">
        <f t="shared" si="12"/>
        <v>45767</v>
      </c>
      <c r="P128" s="27">
        <f t="shared" si="10"/>
        <v>0</v>
      </c>
      <c r="Q128" s="27">
        <f t="shared" si="11"/>
        <v>0</v>
      </c>
      <c r="R128" s="28" t="s">
        <v>22</v>
      </c>
      <c r="S128" s="21">
        <v>28800</v>
      </c>
      <c r="T128" s="18" t="s">
        <v>23</v>
      </c>
      <c r="U128" s="14"/>
    </row>
    <row r="129" spans="1:21" x14ac:dyDescent="0.2">
      <c r="A129" s="17">
        <v>127</v>
      </c>
      <c r="B129" s="18" t="s">
        <v>658</v>
      </c>
      <c r="C129" s="19" t="s">
        <v>659</v>
      </c>
      <c r="D129" s="20" t="s">
        <v>660</v>
      </c>
      <c r="E129" s="21">
        <v>110000</v>
      </c>
      <c r="F129" s="20" t="s">
        <v>21</v>
      </c>
      <c r="G129" s="20" t="s">
        <v>21</v>
      </c>
      <c r="H129" s="22" t="s">
        <v>140</v>
      </c>
      <c r="I129" s="23" t="s">
        <v>141</v>
      </c>
      <c r="J129" s="24" t="s">
        <v>368</v>
      </c>
      <c r="K129" s="25">
        <f t="shared" si="7"/>
        <v>45749</v>
      </c>
      <c r="L129" s="26" t="str">
        <f t="shared" si="8"/>
        <v>Apr 25</v>
      </c>
      <c r="M129" s="26" t="str">
        <f t="shared" si="9"/>
        <v>2025</v>
      </c>
      <c r="N129" s="23" t="s">
        <v>630</v>
      </c>
      <c r="O129" s="25">
        <f t="shared" si="12"/>
        <v>45776</v>
      </c>
      <c r="P129" s="27">
        <f t="shared" si="10"/>
        <v>0</v>
      </c>
      <c r="Q129" s="27">
        <f t="shared" si="11"/>
        <v>0</v>
      </c>
      <c r="R129" s="28" t="s">
        <v>22</v>
      </c>
      <c r="S129" s="21">
        <v>17550</v>
      </c>
      <c r="T129" s="18" t="s">
        <v>23</v>
      </c>
      <c r="U129" s="14"/>
    </row>
    <row r="130" spans="1:21" x14ac:dyDescent="0.2">
      <c r="A130" s="17">
        <v>128</v>
      </c>
      <c r="B130" s="18" t="s">
        <v>661</v>
      </c>
      <c r="C130" s="19" t="s">
        <v>662</v>
      </c>
      <c r="D130" s="20" t="s">
        <v>663</v>
      </c>
      <c r="E130" s="21">
        <v>150000</v>
      </c>
      <c r="F130" s="20" t="s">
        <v>21</v>
      </c>
      <c r="G130" s="20" t="s">
        <v>21</v>
      </c>
      <c r="H130" s="22" t="s">
        <v>664</v>
      </c>
      <c r="I130" s="23" t="s">
        <v>665</v>
      </c>
      <c r="J130" s="24" t="s">
        <v>368</v>
      </c>
      <c r="K130" s="25">
        <f t="shared" si="7"/>
        <v>45749</v>
      </c>
      <c r="L130" s="26" t="str">
        <f t="shared" si="8"/>
        <v>Apr 25</v>
      </c>
      <c r="M130" s="26" t="str">
        <f t="shared" si="9"/>
        <v>2025</v>
      </c>
      <c r="N130" s="23" t="s">
        <v>576</v>
      </c>
      <c r="O130" s="25">
        <f t="shared" si="12"/>
        <v>45769</v>
      </c>
      <c r="P130" s="27">
        <f t="shared" si="10"/>
        <v>0</v>
      </c>
      <c r="Q130" s="27">
        <f t="shared" si="11"/>
        <v>0</v>
      </c>
      <c r="R130" s="28" t="s">
        <v>22</v>
      </c>
      <c r="S130" s="21">
        <v>11700</v>
      </c>
      <c r="T130" s="18" t="s">
        <v>23</v>
      </c>
      <c r="U130" s="14"/>
    </row>
    <row r="131" spans="1:21" x14ac:dyDescent="0.2">
      <c r="A131" s="17">
        <v>129</v>
      </c>
      <c r="B131" s="18" t="s">
        <v>666</v>
      </c>
      <c r="C131" s="19" t="s">
        <v>667</v>
      </c>
      <c r="D131" s="20" t="s">
        <v>668</v>
      </c>
      <c r="E131" s="21">
        <v>50000</v>
      </c>
      <c r="F131" s="20" t="s">
        <v>21</v>
      </c>
      <c r="G131" s="20" t="s">
        <v>21</v>
      </c>
      <c r="H131" s="22" t="s">
        <v>270</v>
      </c>
      <c r="I131" s="23" t="s">
        <v>669</v>
      </c>
      <c r="J131" s="24" t="s">
        <v>670</v>
      </c>
      <c r="K131" s="25">
        <f t="shared" si="7"/>
        <v>45775</v>
      </c>
      <c r="L131" s="26" t="str">
        <f t="shared" si="8"/>
        <v>Apr 25</v>
      </c>
      <c r="M131" s="26" t="str">
        <f t="shared" si="9"/>
        <v>2025</v>
      </c>
      <c r="N131" s="23" t="s">
        <v>630</v>
      </c>
      <c r="O131" s="25">
        <f t="shared" si="12"/>
        <v>45776</v>
      </c>
      <c r="P131" s="27">
        <f t="shared" si="10"/>
        <v>0</v>
      </c>
      <c r="Q131" s="27">
        <f t="shared" si="11"/>
        <v>0</v>
      </c>
      <c r="R131" s="28" t="s">
        <v>22</v>
      </c>
      <c r="S131" s="21">
        <v>6030</v>
      </c>
      <c r="T131" s="18" t="s">
        <v>23</v>
      </c>
      <c r="U131" s="14"/>
    </row>
    <row r="132" spans="1:21" x14ac:dyDescent="0.2">
      <c r="A132" s="17">
        <v>130</v>
      </c>
      <c r="B132" s="18" t="s">
        <v>671</v>
      </c>
      <c r="C132" s="19" t="s">
        <v>672</v>
      </c>
      <c r="D132" s="20" t="s">
        <v>673</v>
      </c>
      <c r="E132" s="21">
        <v>160000</v>
      </c>
      <c r="F132" s="20" t="s">
        <v>674</v>
      </c>
      <c r="G132" s="20" t="s">
        <v>21</v>
      </c>
      <c r="H132" s="22" t="s">
        <v>186</v>
      </c>
      <c r="I132" s="23" t="s">
        <v>34</v>
      </c>
      <c r="J132" s="24" t="s">
        <v>636</v>
      </c>
      <c r="K132" s="25">
        <f t="shared" ref="K132:K195" si="13">DATE(RIGHT(J132,4),MID(J132,4,2),LEFT(J132,2))</f>
        <v>45753</v>
      </c>
      <c r="L132" s="26" t="str">
        <f t="shared" ref="L132:L195" si="14">TEXT(K132,"MMM YY")</f>
        <v>Apr 25</v>
      </c>
      <c r="M132" s="26" t="str">
        <f t="shared" ref="M132:M195" si="15">TEXT(K132,"yyyy")</f>
        <v>2025</v>
      </c>
      <c r="N132" s="23" t="s">
        <v>675</v>
      </c>
      <c r="O132" s="25">
        <f t="shared" si="12"/>
        <v>45777</v>
      </c>
      <c r="P132" s="27">
        <f t="shared" ref="P132:P195" si="16">DATEDIF(K132,O132,"M")</f>
        <v>0</v>
      </c>
      <c r="Q132" s="27">
        <f t="shared" ref="Q132:Q195" si="17">YEAR(O132)-YEAR(K132)</f>
        <v>0</v>
      </c>
      <c r="R132" s="28" t="s">
        <v>22</v>
      </c>
      <c r="S132" s="21">
        <v>162000</v>
      </c>
      <c r="T132" s="18" t="s">
        <v>23</v>
      </c>
      <c r="U132" s="14"/>
    </row>
    <row r="133" spans="1:21" x14ac:dyDescent="0.2">
      <c r="A133" s="17">
        <v>131</v>
      </c>
      <c r="B133" s="18" t="s">
        <v>676</v>
      </c>
      <c r="C133" s="19" t="s">
        <v>677</v>
      </c>
      <c r="D133" s="20" t="s">
        <v>678</v>
      </c>
      <c r="E133" s="21">
        <v>120000</v>
      </c>
      <c r="F133" s="20" t="s">
        <v>679</v>
      </c>
      <c r="G133" s="20" t="s">
        <v>21</v>
      </c>
      <c r="H133" s="22" t="s">
        <v>167</v>
      </c>
      <c r="I133" s="23" t="s">
        <v>680</v>
      </c>
      <c r="J133" s="24" t="s">
        <v>167</v>
      </c>
      <c r="K133" s="25">
        <f t="shared" si="13"/>
        <v>45688</v>
      </c>
      <c r="L133" s="26" t="str">
        <f t="shared" si="14"/>
        <v>Jan 25</v>
      </c>
      <c r="M133" s="26" t="str">
        <f t="shared" si="15"/>
        <v>2025</v>
      </c>
      <c r="N133" s="23" t="s">
        <v>680</v>
      </c>
      <c r="O133" s="25">
        <f t="shared" si="12"/>
        <v>46053</v>
      </c>
      <c r="P133" s="27">
        <f t="shared" si="16"/>
        <v>12</v>
      </c>
      <c r="Q133" s="27">
        <f t="shared" si="17"/>
        <v>1</v>
      </c>
      <c r="R133" s="28" t="s">
        <v>22</v>
      </c>
      <c r="S133" s="21">
        <v>4179</v>
      </c>
      <c r="T133" s="18" t="s">
        <v>23</v>
      </c>
      <c r="U133" s="14"/>
    </row>
    <row r="134" spans="1:21" x14ac:dyDescent="0.2">
      <c r="A134" s="17">
        <v>132</v>
      </c>
      <c r="B134" s="18" t="s">
        <v>681</v>
      </c>
      <c r="C134" s="19" t="s">
        <v>682</v>
      </c>
      <c r="D134" s="20" t="s">
        <v>683</v>
      </c>
      <c r="E134" s="21">
        <v>80000</v>
      </c>
      <c r="F134" s="20" t="s">
        <v>21</v>
      </c>
      <c r="G134" s="20" t="s">
        <v>21</v>
      </c>
      <c r="H134" s="22" t="s">
        <v>152</v>
      </c>
      <c r="I134" s="23" t="s">
        <v>510</v>
      </c>
      <c r="J134" s="24" t="s">
        <v>675</v>
      </c>
      <c r="K134" s="25">
        <f t="shared" si="13"/>
        <v>45777</v>
      </c>
      <c r="L134" s="26" t="str">
        <f t="shared" si="14"/>
        <v>Apr 25</v>
      </c>
      <c r="M134" s="26" t="str">
        <f t="shared" si="15"/>
        <v>2025</v>
      </c>
      <c r="N134" s="23" t="s">
        <v>675</v>
      </c>
      <c r="O134" s="25">
        <f t="shared" si="12"/>
        <v>45777</v>
      </c>
      <c r="P134" s="27">
        <f t="shared" si="16"/>
        <v>0</v>
      </c>
      <c r="Q134" s="27">
        <f t="shared" si="17"/>
        <v>0</v>
      </c>
      <c r="R134" s="28" t="s">
        <v>22</v>
      </c>
      <c r="S134" s="21">
        <v>3250</v>
      </c>
      <c r="T134" s="18" t="s">
        <v>23</v>
      </c>
      <c r="U134" s="14"/>
    </row>
    <row r="135" spans="1:21" x14ac:dyDescent="0.2">
      <c r="A135" s="17">
        <v>133</v>
      </c>
      <c r="B135" s="18" t="s">
        <v>684</v>
      </c>
      <c r="C135" s="19" t="s">
        <v>685</v>
      </c>
      <c r="D135" s="20" t="s">
        <v>686</v>
      </c>
      <c r="E135" s="21">
        <v>90000</v>
      </c>
      <c r="F135" s="20" t="s">
        <v>687</v>
      </c>
      <c r="G135" s="20" t="s">
        <v>21</v>
      </c>
      <c r="H135" s="22" t="s">
        <v>186</v>
      </c>
      <c r="I135" s="23" t="s">
        <v>34</v>
      </c>
      <c r="J135" s="24" t="s">
        <v>670</v>
      </c>
      <c r="K135" s="25">
        <f t="shared" si="13"/>
        <v>45775</v>
      </c>
      <c r="L135" s="26" t="str">
        <f t="shared" si="14"/>
        <v>Apr 25</v>
      </c>
      <c r="M135" s="26" t="str">
        <f t="shared" si="15"/>
        <v>2025</v>
      </c>
      <c r="N135" s="23" t="s">
        <v>688</v>
      </c>
      <c r="O135" s="25">
        <f t="shared" si="12"/>
        <v>45782</v>
      </c>
      <c r="P135" s="27">
        <f t="shared" si="16"/>
        <v>0</v>
      </c>
      <c r="Q135" s="27">
        <f t="shared" si="17"/>
        <v>0</v>
      </c>
      <c r="R135" s="28" t="s">
        <v>22</v>
      </c>
      <c r="S135" s="21">
        <v>44181</v>
      </c>
      <c r="T135" s="18" t="s">
        <v>23</v>
      </c>
      <c r="U135" s="14"/>
    </row>
    <row r="136" spans="1:21" x14ac:dyDescent="0.2">
      <c r="A136" s="17">
        <v>134</v>
      </c>
      <c r="B136" s="18" t="s">
        <v>689</v>
      </c>
      <c r="C136" s="19" t="s">
        <v>690</v>
      </c>
      <c r="D136" s="20" t="s">
        <v>691</v>
      </c>
      <c r="E136" s="21">
        <v>135000</v>
      </c>
      <c r="F136" s="20" t="s">
        <v>21</v>
      </c>
      <c r="G136" s="20" t="s">
        <v>21</v>
      </c>
      <c r="H136" s="22" t="s">
        <v>369</v>
      </c>
      <c r="I136" s="23" t="s">
        <v>620</v>
      </c>
      <c r="J136" s="24" t="s">
        <v>630</v>
      </c>
      <c r="K136" s="25">
        <f t="shared" si="13"/>
        <v>45776</v>
      </c>
      <c r="L136" s="26" t="str">
        <f t="shared" si="14"/>
        <v>Apr 25</v>
      </c>
      <c r="M136" s="26" t="str">
        <f t="shared" si="15"/>
        <v>2025</v>
      </c>
      <c r="N136" s="23" t="s">
        <v>692</v>
      </c>
      <c r="O136" s="25">
        <f t="shared" si="12"/>
        <v>127</v>
      </c>
      <c r="P136" s="27" t="e">
        <f t="shared" si="16"/>
        <v>#NUM!</v>
      </c>
      <c r="Q136" s="27">
        <f t="shared" si="17"/>
        <v>-125</v>
      </c>
      <c r="R136" s="28" t="s">
        <v>22</v>
      </c>
      <c r="S136" s="21">
        <v>18216</v>
      </c>
      <c r="T136" s="18" t="s">
        <v>23</v>
      </c>
      <c r="U136" s="14"/>
    </row>
    <row r="137" spans="1:21" x14ac:dyDescent="0.2">
      <c r="A137" s="17">
        <v>135</v>
      </c>
      <c r="B137" s="18" t="s">
        <v>693</v>
      </c>
      <c r="C137" s="19" t="s">
        <v>694</v>
      </c>
      <c r="D137" s="20" t="s">
        <v>695</v>
      </c>
      <c r="E137" s="21">
        <v>90000</v>
      </c>
      <c r="F137" s="20" t="s">
        <v>21</v>
      </c>
      <c r="G137" s="20" t="s">
        <v>21</v>
      </c>
      <c r="H137" s="22" t="s">
        <v>110</v>
      </c>
      <c r="I137" s="23" t="s">
        <v>111</v>
      </c>
      <c r="J137" s="24" t="s">
        <v>641</v>
      </c>
      <c r="K137" s="25">
        <f t="shared" si="13"/>
        <v>45772</v>
      </c>
      <c r="L137" s="26" t="str">
        <f t="shared" si="14"/>
        <v>Apr 25</v>
      </c>
      <c r="M137" s="26" t="str">
        <f t="shared" si="15"/>
        <v>2025</v>
      </c>
      <c r="N137" s="23" t="s">
        <v>688</v>
      </c>
      <c r="O137" s="25">
        <f t="shared" si="12"/>
        <v>45782</v>
      </c>
      <c r="P137" s="27">
        <f t="shared" si="16"/>
        <v>0</v>
      </c>
      <c r="Q137" s="27">
        <f t="shared" si="17"/>
        <v>0</v>
      </c>
      <c r="R137" s="28" t="s">
        <v>22</v>
      </c>
      <c r="S137" s="21">
        <v>31000</v>
      </c>
      <c r="T137" s="18" t="s">
        <v>23</v>
      </c>
      <c r="U137" s="14"/>
    </row>
    <row r="138" spans="1:21" x14ac:dyDescent="0.2">
      <c r="A138" s="17">
        <v>136</v>
      </c>
      <c r="B138" s="18" t="s">
        <v>696</v>
      </c>
      <c r="C138" s="19" t="s">
        <v>697</v>
      </c>
      <c r="D138" s="20" t="s">
        <v>698</v>
      </c>
      <c r="E138" s="21">
        <v>50000</v>
      </c>
      <c r="F138" s="20" t="s">
        <v>21</v>
      </c>
      <c r="G138" s="20" t="s">
        <v>21</v>
      </c>
      <c r="H138" s="22">
        <v>1.102023</v>
      </c>
      <c r="I138" s="23" t="s">
        <v>111</v>
      </c>
      <c r="J138" s="24" t="s">
        <v>670</v>
      </c>
      <c r="K138" s="25">
        <f t="shared" si="13"/>
        <v>45775</v>
      </c>
      <c r="L138" s="26" t="str">
        <f t="shared" si="14"/>
        <v>Apr 25</v>
      </c>
      <c r="M138" s="26" t="str">
        <f t="shared" si="15"/>
        <v>2025</v>
      </c>
      <c r="N138" s="23" t="s">
        <v>630</v>
      </c>
      <c r="O138" s="25">
        <f t="shared" si="12"/>
        <v>45776</v>
      </c>
      <c r="P138" s="27">
        <f t="shared" si="16"/>
        <v>0</v>
      </c>
      <c r="Q138" s="27">
        <f t="shared" si="17"/>
        <v>0</v>
      </c>
      <c r="R138" s="28" t="s">
        <v>22</v>
      </c>
      <c r="S138" s="21">
        <v>3060</v>
      </c>
      <c r="T138" s="18" t="s">
        <v>23</v>
      </c>
      <c r="U138" s="14"/>
    </row>
    <row r="139" spans="1:21" x14ac:dyDescent="0.2">
      <c r="A139" s="17">
        <v>137</v>
      </c>
      <c r="B139" s="18" t="s">
        <v>699</v>
      </c>
      <c r="C139" s="19" t="s">
        <v>700</v>
      </c>
      <c r="D139" s="20" t="s">
        <v>701</v>
      </c>
      <c r="E139" s="21">
        <v>80000</v>
      </c>
      <c r="F139" s="20" t="s">
        <v>21</v>
      </c>
      <c r="G139" s="20" t="s">
        <v>21</v>
      </c>
      <c r="H139" s="22" t="s">
        <v>702</v>
      </c>
      <c r="I139" s="23" t="s">
        <v>111</v>
      </c>
      <c r="J139" s="24" t="s">
        <v>703</v>
      </c>
      <c r="K139" s="25">
        <f t="shared" si="13"/>
        <v>45745</v>
      </c>
      <c r="L139" s="26" t="str">
        <f t="shared" si="14"/>
        <v>Mar 25</v>
      </c>
      <c r="M139" s="26" t="str">
        <f t="shared" si="15"/>
        <v>2025</v>
      </c>
      <c r="N139" s="23" t="s">
        <v>704</v>
      </c>
      <c r="O139" s="25">
        <f t="shared" si="12"/>
        <v>45783</v>
      </c>
      <c r="P139" s="27">
        <f t="shared" si="16"/>
        <v>1</v>
      </c>
      <c r="Q139" s="27">
        <f t="shared" si="17"/>
        <v>0</v>
      </c>
      <c r="R139" s="28" t="s">
        <v>22</v>
      </c>
      <c r="S139" s="21">
        <v>26388</v>
      </c>
      <c r="T139" s="18" t="s">
        <v>23</v>
      </c>
      <c r="U139" s="14"/>
    </row>
    <row r="140" spans="1:21" x14ac:dyDescent="0.2">
      <c r="A140" s="17">
        <v>138</v>
      </c>
      <c r="B140" s="19" t="s">
        <v>705</v>
      </c>
      <c r="C140" s="19" t="s">
        <v>706</v>
      </c>
      <c r="D140" s="20" t="s">
        <v>707</v>
      </c>
      <c r="E140" s="21">
        <v>90000</v>
      </c>
      <c r="F140" s="20" t="s">
        <v>708</v>
      </c>
      <c r="G140" s="20" t="s">
        <v>21</v>
      </c>
      <c r="H140" s="22" t="s">
        <v>140</v>
      </c>
      <c r="I140" s="23" t="s">
        <v>141</v>
      </c>
      <c r="J140" s="24" t="s">
        <v>675</v>
      </c>
      <c r="K140" s="25">
        <f t="shared" si="13"/>
        <v>45777</v>
      </c>
      <c r="L140" s="26" t="str">
        <f t="shared" si="14"/>
        <v>Apr 25</v>
      </c>
      <c r="M140" s="26" t="str">
        <f t="shared" si="15"/>
        <v>2025</v>
      </c>
      <c r="N140" s="23" t="s">
        <v>688</v>
      </c>
      <c r="O140" s="25">
        <f t="shared" si="12"/>
        <v>45782</v>
      </c>
      <c r="P140" s="27">
        <f t="shared" si="16"/>
        <v>0</v>
      </c>
      <c r="Q140" s="27">
        <f t="shared" si="17"/>
        <v>0</v>
      </c>
      <c r="R140" s="28" t="s">
        <v>22</v>
      </c>
      <c r="S140" s="21">
        <v>25141.86</v>
      </c>
      <c r="T140" s="18" t="s">
        <v>23</v>
      </c>
      <c r="U140" s="14"/>
    </row>
    <row r="141" spans="1:21" x14ac:dyDescent="0.2">
      <c r="A141" s="17">
        <v>139</v>
      </c>
      <c r="B141" s="18" t="s">
        <v>709</v>
      </c>
      <c r="C141" s="19" t="s">
        <v>710</v>
      </c>
      <c r="D141" s="20" t="s">
        <v>711</v>
      </c>
      <c r="E141" s="21">
        <v>85000</v>
      </c>
      <c r="F141" s="20" t="s">
        <v>21</v>
      </c>
      <c r="G141" s="20" t="s">
        <v>21</v>
      </c>
      <c r="H141" s="22" t="s">
        <v>370</v>
      </c>
      <c r="I141" s="23" t="s">
        <v>712</v>
      </c>
      <c r="J141" s="24" t="s">
        <v>645</v>
      </c>
      <c r="K141" s="25">
        <f t="shared" si="13"/>
        <v>45768</v>
      </c>
      <c r="L141" s="26" t="str">
        <f t="shared" si="14"/>
        <v>Apr 25</v>
      </c>
      <c r="M141" s="26" t="str">
        <f t="shared" si="15"/>
        <v>2025</v>
      </c>
      <c r="N141" s="23" t="s">
        <v>713</v>
      </c>
      <c r="O141" s="25">
        <f t="shared" si="12"/>
        <v>45779</v>
      </c>
      <c r="P141" s="27">
        <f t="shared" si="16"/>
        <v>0</v>
      </c>
      <c r="Q141" s="27">
        <f t="shared" si="17"/>
        <v>0</v>
      </c>
      <c r="R141" s="28" t="s">
        <v>22</v>
      </c>
      <c r="S141" s="21">
        <v>6846</v>
      </c>
      <c r="T141" s="18" t="s">
        <v>23</v>
      </c>
      <c r="U141" s="14"/>
    </row>
    <row r="142" spans="1:21" x14ac:dyDescent="0.2">
      <c r="A142" s="17">
        <v>140</v>
      </c>
      <c r="B142" s="18" t="s">
        <v>709</v>
      </c>
      <c r="C142" s="19" t="s">
        <v>710</v>
      </c>
      <c r="D142" s="20" t="s">
        <v>711</v>
      </c>
      <c r="E142" s="21">
        <v>85000</v>
      </c>
      <c r="F142" s="20" t="s">
        <v>21</v>
      </c>
      <c r="G142" s="20" t="s">
        <v>714</v>
      </c>
      <c r="H142" s="22" t="s">
        <v>140</v>
      </c>
      <c r="I142" s="23" t="s">
        <v>229</v>
      </c>
      <c r="J142" s="24" t="s">
        <v>645</v>
      </c>
      <c r="K142" s="25">
        <f t="shared" si="13"/>
        <v>45768</v>
      </c>
      <c r="L142" s="26" t="str">
        <f t="shared" si="14"/>
        <v>Apr 25</v>
      </c>
      <c r="M142" s="26" t="str">
        <f t="shared" si="15"/>
        <v>2025</v>
      </c>
      <c r="N142" s="23" t="s">
        <v>713</v>
      </c>
      <c r="O142" s="25">
        <f t="shared" si="12"/>
        <v>45779</v>
      </c>
      <c r="P142" s="27">
        <f t="shared" si="16"/>
        <v>0</v>
      </c>
      <c r="Q142" s="27">
        <f t="shared" si="17"/>
        <v>0</v>
      </c>
      <c r="R142" s="28" t="s">
        <v>22</v>
      </c>
      <c r="S142" s="21">
        <v>10296</v>
      </c>
      <c r="T142" s="18" t="s">
        <v>23</v>
      </c>
      <c r="U142" s="14"/>
    </row>
    <row r="143" spans="1:21" x14ac:dyDescent="0.2">
      <c r="A143" s="17">
        <v>141</v>
      </c>
      <c r="B143" s="18" t="s">
        <v>715</v>
      </c>
      <c r="C143" s="19" t="s">
        <v>716</v>
      </c>
      <c r="D143" s="20" t="s">
        <v>717</v>
      </c>
      <c r="E143" s="21">
        <v>300000</v>
      </c>
      <c r="F143" s="20" t="s">
        <v>21</v>
      </c>
      <c r="G143" s="20" t="s">
        <v>21</v>
      </c>
      <c r="H143" s="22" t="s">
        <v>128</v>
      </c>
      <c r="I143" s="23" t="s">
        <v>718</v>
      </c>
      <c r="J143" s="24" t="s">
        <v>719</v>
      </c>
      <c r="K143" s="25">
        <f t="shared" si="13"/>
        <v>45758</v>
      </c>
      <c r="L143" s="26" t="str">
        <f t="shared" si="14"/>
        <v>Apr 25</v>
      </c>
      <c r="M143" s="26" t="str">
        <f t="shared" si="15"/>
        <v>2025</v>
      </c>
      <c r="N143" s="23" t="s">
        <v>720</v>
      </c>
      <c r="O143" s="25">
        <f t="shared" si="12"/>
        <v>45784</v>
      </c>
      <c r="P143" s="27">
        <f t="shared" si="16"/>
        <v>0</v>
      </c>
      <c r="Q143" s="27">
        <f t="shared" si="17"/>
        <v>0</v>
      </c>
      <c r="R143" s="28" t="s">
        <v>22</v>
      </c>
      <c r="S143" s="21">
        <v>42804</v>
      </c>
      <c r="T143" s="18" t="s">
        <v>23</v>
      </c>
      <c r="U143" s="14"/>
    </row>
    <row r="144" spans="1:21" x14ac:dyDescent="0.2">
      <c r="A144" s="17">
        <v>142</v>
      </c>
      <c r="B144" s="18" t="s">
        <v>38</v>
      </c>
      <c r="C144" s="19" t="s">
        <v>39</v>
      </c>
      <c r="D144" s="20" t="s">
        <v>721</v>
      </c>
      <c r="E144" s="21" t="s">
        <v>374</v>
      </c>
      <c r="F144" s="20" t="s">
        <v>21</v>
      </c>
      <c r="G144" s="20" t="s">
        <v>21</v>
      </c>
      <c r="H144" s="22" t="s">
        <v>186</v>
      </c>
      <c r="I144" s="23" t="s">
        <v>722</v>
      </c>
      <c r="J144" s="24" t="s">
        <v>607</v>
      </c>
      <c r="K144" s="25">
        <f t="shared" si="13"/>
        <v>45762</v>
      </c>
      <c r="L144" s="26" t="str">
        <f t="shared" si="14"/>
        <v>Apr 25</v>
      </c>
      <c r="M144" s="26" t="str">
        <f t="shared" si="15"/>
        <v>2025</v>
      </c>
      <c r="N144" s="23" t="s">
        <v>704</v>
      </c>
      <c r="O144" s="25">
        <f t="shared" si="12"/>
        <v>45783</v>
      </c>
      <c r="P144" s="27">
        <f t="shared" si="16"/>
        <v>0</v>
      </c>
      <c r="Q144" s="27">
        <f t="shared" si="17"/>
        <v>0</v>
      </c>
      <c r="R144" s="28" t="s">
        <v>22</v>
      </c>
      <c r="S144" s="21">
        <v>20475</v>
      </c>
      <c r="T144" s="18" t="s">
        <v>23</v>
      </c>
      <c r="U144" s="14"/>
    </row>
    <row r="145" spans="1:21" x14ac:dyDescent="0.2">
      <c r="A145" s="17">
        <v>143</v>
      </c>
      <c r="B145" s="18" t="s">
        <v>723</v>
      </c>
      <c r="C145" s="19" t="s">
        <v>724</v>
      </c>
      <c r="D145" s="20" t="s">
        <v>725</v>
      </c>
      <c r="E145" s="21" t="s">
        <v>374</v>
      </c>
      <c r="F145" s="20" t="s">
        <v>726</v>
      </c>
      <c r="G145" s="20" t="s">
        <v>21</v>
      </c>
      <c r="H145" s="22" t="s">
        <v>288</v>
      </c>
      <c r="I145" s="23" t="s">
        <v>727</v>
      </c>
      <c r="J145" s="24" t="s">
        <v>589</v>
      </c>
      <c r="K145" s="25">
        <f t="shared" si="13"/>
        <v>45742</v>
      </c>
      <c r="L145" s="26" t="str">
        <f t="shared" si="14"/>
        <v>Mar 25</v>
      </c>
      <c r="M145" s="26" t="str">
        <f t="shared" si="15"/>
        <v>2025</v>
      </c>
      <c r="N145" s="23" t="s">
        <v>728</v>
      </c>
      <c r="O145" s="25">
        <f t="shared" si="12"/>
        <v>45764</v>
      </c>
      <c r="P145" s="27">
        <f t="shared" si="16"/>
        <v>0</v>
      </c>
      <c r="Q145" s="27">
        <f t="shared" si="17"/>
        <v>0</v>
      </c>
      <c r="R145" s="28" t="s">
        <v>22</v>
      </c>
      <c r="S145" s="21">
        <v>27000</v>
      </c>
      <c r="T145" s="18" t="s">
        <v>23</v>
      </c>
      <c r="U145" s="14"/>
    </row>
    <row r="146" spans="1:21" x14ac:dyDescent="0.2">
      <c r="A146" s="17">
        <v>144</v>
      </c>
      <c r="B146" s="18" t="s">
        <v>729</v>
      </c>
      <c r="C146" s="19" t="s">
        <v>730</v>
      </c>
      <c r="D146" s="20" t="s">
        <v>731</v>
      </c>
      <c r="E146" s="21">
        <v>80000</v>
      </c>
      <c r="F146" s="20" t="s">
        <v>21</v>
      </c>
      <c r="G146" s="20" t="s">
        <v>21</v>
      </c>
      <c r="H146" s="22" t="s">
        <v>732</v>
      </c>
      <c r="I146" s="23" t="s">
        <v>733</v>
      </c>
      <c r="J146" s="24" t="s">
        <v>578</v>
      </c>
      <c r="K146" s="25">
        <f t="shared" si="13"/>
        <v>45755</v>
      </c>
      <c r="L146" s="26" t="str">
        <f t="shared" si="14"/>
        <v>Apr 25</v>
      </c>
      <c r="M146" s="26" t="str">
        <f t="shared" si="15"/>
        <v>2025</v>
      </c>
      <c r="N146" s="23" t="s">
        <v>576</v>
      </c>
      <c r="O146" s="25">
        <f t="shared" si="12"/>
        <v>45769</v>
      </c>
      <c r="P146" s="27">
        <f t="shared" si="16"/>
        <v>0</v>
      </c>
      <c r="Q146" s="27">
        <f t="shared" si="17"/>
        <v>0</v>
      </c>
      <c r="R146" s="28" t="s">
        <v>22</v>
      </c>
      <c r="S146" s="21">
        <v>23850</v>
      </c>
      <c r="T146" s="18" t="s">
        <v>23</v>
      </c>
      <c r="U146" s="14"/>
    </row>
    <row r="147" spans="1:21" x14ac:dyDescent="0.2">
      <c r="A147" s="17">
        <v>145</v>
      </c>
      <c r="B147" s="18" t="s">
        <v>734</v>
      </c>
      <c r="C147" s="19" t="s">
        <v>735</v>
      </c>
      <c r="D147" s="20" t="s">
        <v>736</v>
      </c>
      <c r="E147" s="21">
        <v>40000</v>
      </c>
      <c r="F147" s="20" t="s">
        <v>737</v>
      </c>
      <c r="G147" s="20" t="s">
        <v>21</v>
      </c>
      <c r="H147" s="22" t="s">
        <v>140</v>
      </c>
      <c r="I147" s="23" t="s">
        <v>141</v>
      </c>
      <c r="J147" s="24" t="s">
        <v>612</v>
      </c>
      <c r="K147" s="25">
        <f t="shared" si="13"/>
        <v>45752</v>
      </c>
      <c r="L147" s="26" t="str">
        <f t="shared" si="14"/>
        <v>Apr 25</v>
      </c>
      <c r="M147" s="26" t="str">
        <f t="shared" si="15"/>
        <v>2025</v>
      </c>
      <c r="N147" s="23" t="s">
        <v>738</v>
      </c>
      <c r="O147" s="25">
        <f t="shared" ref="O147:O210" si="18">DATE(RIGHT(N147,4),MID(N147,4,2),LEFT(N147,2))</f>
        <v>45777</v>
      </c>
      <c r="P147" s="27">
        <f t="shared" si="16"/>
        <v>0</v>
      </c>
      <c r="Q147" s="27">
        <f t="shared" si="17"/>
        <v>0</v>
      </c>
      <c r="R147" s="28" t="s">
        <v>22</v>
      </c>
      <c r="S147" s="21">
        <v>36000</v>
      </c>
      <c r="T147" s="18" t="s">
        <v>23</v>
      </c>
      <c r="U147" s="14"/>
    </row>
    <row r="148" spans="1:21" x14ac:dyDescent="0.2">
      <c r="A148" s="17">
        <v>146</v>
      </c>
      <c r="B148" s="18" t="s">
        <v>739</v>
      </c>
      <c r="C148" s="19" t="s">
        <v>740</v>
      </c>
      <c r="D148" s="20" t="s">
        <v>741</v>
      </c>
      <c r="E148" s="21">
        <v>110000</v>
      </c>
      <c r="F148" s="20" t="s">
        <v>742</v>
      </c>
      <c r="G148" s="20" t="s">
        <v>21</v>
      </c>
      <c r="H148" s="22" t="s">
        <v>110</v>
      </c>
      <c r="I148" s="23" t="s">
        <v>111</v>
      </c>
      <c r="J148" s="24" t="s">
        <v>719</v>
      </c>
      <c r="K148" s="25">
        <f t="shared" si="13"/>
        <v>45758</v>
      </c>
      <c r="L148" s="26" t="str">
        <f t="shared" si="14"/>
        <v>Apr 25</v>
      </c>
      <c r="M148" s="26" t="str">
        <f t="shared" si="15"/>
        <v>2025</v>
      </c>
      <c r="N148" s="23" t="s">
        <v>106</v>
      </c>
      <c r="O148" s="25">
        <f t="shared" si="18"/>
        <v>45786</v>
      </c>
      <c r="P148" s="27">
        <f t="shared" si="16"/>
        <v>0</v>
      </c>
      <c r="Q148" s="27">
        <f t="shared" si="17"/>
        <v>0</v>
      </c>
      <c r="R148" s="28" t="s">
        <v>22</v>
      </c>
      <c r="S148" s="21">
        <v>9700</v>
      </c>
      <c r="T148" s="18" t="s">
        <v>23</v>
      </c>
      <c r="U148" s="14"/>
    </row>
    <row r="149" spans="1:21" x14ac:dyDescent="0.2">
      <c r="A149" s="17">
        <v>147</v>
      </c>
      <c r="B149" s="18" t="s">
        <v>743</v>
      </c>
      <c r="C149" s="19" t="s">
        <v>744</v>
      </c>
      <c r="D149" s="20" t="s">
        <v>745</v>
      </c>
      <c r="E149" s="21">
        <v>70000</v>
      </c>
      <c r="F149" s="20" t="s">
        <v>21</v>
      </c>
      <c r="G149" s="20" t="s">
        <v>21</v>
      </c>
      <c r="H149" s="22" t="s">
        <v>110</v>
      </c>
      <c r="I149" s="23" t="s">
        <v>111</v>
      </c>
      <c r="J149" s="24" t="s">
        <v>713</v>
      </c>
      <c r="K149" s="25">
        <f t="shared" si="13"/>
        <v>45779</v>
      </c>
      <c r="L149" s="26" t="str">
        <f t="shared" si="14"/>
        <v>May 25</v>
      </c>
      <c r="M149" s="26" t="str">
        <f t="shared" si="15"/>
        <v>2025</v>
      </c>
      <c r="N149" s="23" t="s">
        <v>746</v>
      </c>
      <c r="O149" s="25">
        <f t="shared" si="18"/>
        <v>45785</v>
      </c>
      <c r="P149" s="27">
        <f t="shared" si="16"/>
        <v>0</v>
      </c>
      <c r="Q149" s="27">
        <f t="shared" si="17"/>
        <v>0</v>
      </c>
      <c r="R149" s="28" t="s">
        <v>65</v>
      </c>
      <c r="S149" s="21">
        <v>2800</v>
      </c>
      <c r="T149" s="18" t="s">
        <v>23</v>
      </c>
      <c r="U149" s="14"/>
    </row>
    <row r="150" spans="1:21" x14ac:dyDescent="0.2">
      <c r="A150" s="17">
        <v>148</v>
      </c>
      <c r="B150" s="18" t="s">
        <v>747</v>
      </c>
      <c r="C150" s="19" t="s">
        <v>748</v>
      </c>
      <c r="D150" s="20" t="s">
        <v>749</v>
      </c>
      <c r="E150" s="21">
        <v>30000</v>
      </c>
      <c r="F150" s="20" t="s">
        <v>21</v>
      </c>
      <c r="G150" s="20" t="s">
        <v>21</v>
      </c>
      <c r="H150" s="22" t="s">
        <v>369</v>
      </c>
      <c r="I150" s="23" t="s">
        <v>620</v>
      </c>
      <c r="J150" s="24" t="s">
        <v>704</v>
      </c>
      <c r="K150" s="25">
        <f t="shared" si="13"/>
        <v>45783</v>
      </c>
      <c r="L150" s="26" t="str">
        <f t="shared" si="14"/>
        <v>May 25</v>
      </c>
      <c r="M150" s="26" t="str">
        <f t="shared" si="15"/>
        <v>2025</v>
      </c>
      <c r="N150" s="23" t="s">
        <v>727</v>
      </c>
      <c r="O150" s="25">
        <f t="shared" si="18"/>
        <v>45789</v>
      </c>
      <c r="P150" s="27">
        <f t="shared" si="16"/>
        <v>0</v>
      </c>
      <c r="Q150" s="27">
        <f t="shared" si="17"/>
        <v>0</v>
      </c>
      <c r="R150" s="28" t="s">
        <v>22</v>
      </c>
      <c r="S150" s="21">
        <v>17460</v>
      </c>
      <c r="T150" s="18" t="s">
        <v>23</v>
      </c>
      <c r="U150" s="14"/>
    </row>
    <row r="151" spans="1:21" x14ac:dyDescent="0.2">
      <c r="A151" s="17">
        <v>149</v>
      </c>
      <c r="B151" s="18" t="s">
        <v>750</v>
      </c>
      <c r="C151" s="19" t="s">
        <v>751</v>
      </c>
      <c r="D151" s="20" t="s">
        <v>752</v>
      </c>
      <c r="E151" s="21">
        <v>230000</v>
      </c>
      <c r="F151" s="20" t="s">
        <v>753</v>
      </c>
      <c r="G151" s="20" t="s">
        <v>21</v>
      </c>
      <c r="H151" s="22" t="s">
        <v>582</v>
      </c>
      <c r="I151" s="23" t="s">
        <v>86</v>
      </c>
      <c r="J151" s="24" t="s">
        <v>704</v>
      </c>
      <c r="K151" s="25">
        <f t="shared" si="13"/>
        <v>45783</v>
      </c>
      <c r="L151" s="26" t="str">
        <f t="shared" si="14"/>
        <v>May 25</v>
      </c>
      <c r="M151" s="26" t="str">
        <f t="shared" si="15"/>
        <v>2025</v>
      </c>
      <c r="N151" s="23" t="s">
        <v>727</v>
      </c>
      <c r="O151" s="25">
        <f t="shared" si="18"/>
        <v>45789</v>
      </c>
      <c r="P151" s="27">
        <f t="shared" si="16"/>
        <v>0</v>
      </c>
      <c r="Q151" s="27">
        <f t="shared" si="17"/>
        <v>0</v>
      </c>
      <c r="R151" s="28" t="s">
        <v>22</v>
      </c>
      <c r="S151" s="21">
        <v>13960</v>
      </c>
      <c r="T151" s="18" t="s">
        <v>23</v>
      </c>
      <c r="U151" s="14"/>
    </row>
    <row r="152" spans="1:21" x14ac:dyDescent="0.2">
      <c r="A152" s="17">
        <v>150</v>
      </c>
      <c r="B152" s="18" t="s">
        <v>754</v>
      </c>
      <c r="C152" s="19" t="s">
        <v>755</v>
      </c>
      <c r="D152" s="20" t="s">
        <v>756</v>
      </c>
      <c r="E152" s="21">
        <v>150000</v>
      </c>
      <c r="F152" s="20" t="s">
        <v>21</v>
      </c>
      <c r="G152" s="20" t="s">
        <v>21</v>
      </c>
      <c r="H152" s="22" t="s">
        <v>330</v>
      </c>
      <c r="I152" s="23" t="s">
        <v>331</v>
      </c>
      <c r="J152" s="24" t="s">
        <v>607</v>
      </c>
      <c r="K152" s="25">
        <f t="shared" si="13"/>
        <v>45762</v>
      </c>
      <c r="L152" s="26" t="str">
        <f t="shared" si="14"/>
        <v>Apr 25</v>
      </c>
      <c r="M152" s="26" t="str">
        <f t="shared" si="15"/>
        <v>2025</v>
      </c>
      <c r="N152" s="23" t="s">
        <v>727</v>
      </c>
      <c r="O152" s="25">
        <f t="shared" si="18"/>
        <v>45789</v>
      </c>
      <c r="P152" s="27">
        <f t="shared" si="16"/>
        <v>0</v>
      </c>
      <c r="Q152" s="27">
        <f t="shared" si="17"/>
        <v>0</v>
      </c>
      <c r="R152" s="28" t="s">
        <v>22</v>
      </c>
      <c r="S152" s="21">
        <v>135000</v>
      </c>
      <c r="T152" s="18" t="s">
        <v>23</v>
      </c>
      <c r="U152" s="14"/>
    </row>
    <row r="153" spans="1:21" x14ac:dyDescent="0.2">
      <c r="A153" s="17">
        <v>151</v>
      </c>
      <c r="B153" s="18" t="s">
        <v>757</v>
      </c>
      <c r="C153" s="19" t="s">
        <v>758</v>
      </c>
      <c r="D153" s="20" t="s">
        <v>759</v>
      </c>
      <c r="E153" s="21">
        <v>50000</v>
      </c>
      <c r="F153" s="20" t="s">
        <v>21</v>
      </c>
      <c r="G153" s="20" t="s">
        <v>21</v>
      </c>
      <c r="H153" s="22" t="s">
        <v>670</v>
      </c>
      <c r="I153" s="23" t="s">
        <v>760</v>
      </c>
      <c r="J153" s="24" t="s">
        <v>761</v>
      </c>
      <c r="K153" s="25">
        <f t="shared" si="13"/>
        <v>119</v>
      </c>
      <c r="L153" s="26" t="str">
        <f t="shared" si="14"/>
        <v>Apr 00</v>
      </c>
      <c r="M153" s="26" t="str">
        <f t="shared" si="15"/>
        <v>1900</v>
      </c>
      <c r="N153" s="23" t="s">
        <v>720</v>
      </c>
      <c r="O153" s="25">
        <f t="shared" si="18"/>
        <v>45784</v>
      </c>
      <c r="P153" s="27">
        <f t="shared" si="16"/>
        <v>1500</v>
      </c>
      <c r="Q153" s="27">
        <f t="shared" si="17"/>
        <v>125</v>
      </c>
      <c r="R153" s="28" t="s">
        <v>22</v>
      </c>
      <c r="S153" s="21">
        <v>8820</v>
      </c>
      <c r="T153" s="18" t="s">
        <v>23</v>
      </c>
      <c r="U153" s="14"/>
    </row>
    <row r="154" spans="1:21" x14ac:dyDescent="0.2">
      <c r="A154" s="17">
        <v>152</v>
      </c>
      <c r="B154" s="18" t="s">
        <v>762</v>
      </c>
      <c r="C154" s="19" t="s">
        <v>763</v>
      </c>
      <c r="D154" s="20" t="s">
        <v>764</v>
      </c>
      <c r="E154" s="21" t="s">
        <v>765</v>
      </c>
      <c r="F154" s="20" t="s">
        <v>21</v>
      </c>
      <c r="G154" s="20" t="s">
        <v>21</v>
      </c>
      <c r="H154" s="22" t="s">
        <v>186</v>
      </c>
      <c r="I154" s="23" t="s">
        <v>34</v>
      </c>
      <c r="J154" s="24" t="s">
        <v>704</v>
      </c>
      <c r="K154" s="25">
        <f t="shared" si="13"/>
        <v>45783</v>
      </c>
      <c r="L154" s="26" t="str">
        <f t="shared" si="14"/>
        <v>May 25</v>
      </c>
      <c r="M154" s="26" t="str">
        <f t="shared" si="15"/>
        <v>2025</v>
      </c>
      <c r="N154" s="23" t="s">
        <v>746</v>
      </c>
      <c r="O154" s="25">
        <f t="shared" si="18"/>
        <v>45785</v>
      </c>
      <c r="P154" s="27">
        <f t="shared" si="16"/>
        <v>0</v>
      </c>
      <c r="Q154" s="27">
        <f t="shared" si="17"/>
        <v>0</v>
      </c>
      <c r="R154" s="28" t="s">
        <v>65</v>
      </c>
      <c r="S154" s="21">
        <v>8550</v>
      </c>
      <c r="T154" s="18" t="s">
        <v>23</v>
      </c>
      <c r="U154" s="14"/>
    </row>
    <row r="155" spans="1:21" x14ac:dyDescent="0.2">
      <c r="A155" s="17">
        <v>153</v>
      </c>
      <c r="B155" s="18" t="s">
        <v>766</v>
      </c>
      <c r="C155" s="19" t="s">
        <v>767</v>
      </c>
      <c r="D155" s="20" t="s">
        <v>768</v>
      </c>
      <c r="E155" s="21">
        <v>150000</v>
      </c>
      <c r="F155" s="20" t="s">
        <v>21</v>
      </c>
      <c r="G155" s="20" t="s">
        <v>21</v>
      </c>
      <c r="H155" s="22" t="s">
        <v>27</v>
      </c>
      <c r="I155" s="23" t="s">
        <v>34</v>
      </c>
      <c r="J155" s="24" t="s">
        <v>704</v>
      </c>
      <c r="K155" s="25">
        <f t="shared" si="13"/>
        <v>45783</v>
      </c>
      <c r="L155" s="26" t="str">
        <f t="shared" si="14"/>
        <v>May 25</v>
      </c>
      <c r="M155" s="26" t="str">
        <f t="shared" si="15"/>
        <v>2025</v>
      </c>
      <c r="N155" s="23" t="s">
        <v>769</v>
      </c>
      <c r="O155" s="25">
        <f t="shared" si="18"/>
        <v>45790</v>
      </c>
      <c r="P155" s="27">
        <f t="shared" si="16"/>
        <v>0</v>
      </c>
      <c r="Q155" s="27">
        <f t="shared" si="17"/>
        <v>0</v>
      </c>
      <c r="R155" s="28" t="s">
        <v>22</v>
      </c>
      <c r="S155" s="21">
        <v>2700</v>
      </c>
      <c r="T155" s="18" t="s">
        <v>23</v>
      </c>
      <c r="U155" s="14"/>
    </row>
    <row r="156" spans="1:21" x14ac:dyDescent="0.2">
      <c r="A156" s="17">
        <v>154</v>
      </c>
      <c r="B156" s="18" t="s">
        <v>770</v>
      </c>
      <c r="C156" s="19" t="s">
        <v>771</v>
      </c>
      <c r="D156" s="20" t="s">
        <v>772</v>
      </c>
      <c r="E156" s="21">
        <v>500000</v>
      </c>
      <c r="F156" s="20" t="s">
        <v>21</v>
      </c>
      <c r="G156" s="20" t="s">
        <v>21</v>
      </c>
      <c r="H156" s="22" t="s">
        <v>140</v>
      </c>
      <c r="I156" s="23" t="s">
        <v>141</v>
      </c>
      <c r="J156" s="24" t="s">
        <v>773</v>
      </c>
      <c r="K156" s="25">
        <f t="shared" si="13"/>
        <v>45774</v>
      </c>
      <c r="L156" s="26" t="str">
        <f t="shared" si="14"/>
        <v>Apr 25</v>
      </c>
      <c r="M156" s="26" t="str">
        <f t="shared" si="15"/>
        <v>2025</v>
      </c>
      <c r="N156" s="23" t="s">
        <v>97</v>
      </c>
      <c r="O156" s="25">
        <f t="shared" si="18"/>
        <v>45796</v>
      </c>
      <c r="P156" s="27">
        <f t="shared" si="16"/>
        <v>0</v>
      </c>
      <c r="Q156" s="27">
        <f t="shared" si="17"/>
        <v>0</v>
      </c>
      <c r="R156" s="28" t="s">
        <v>22</v>
      </c>
      <c r="S156" s="21">
        <v>32364</v>
      </c>
      <c r="T156" s="18" t="s">
        <v>23</v>
      </c>
      <c r="U156" s="14"/>
    </row>
    <row r="157" spans="1:21" x14ac:dyDescent="0.2">
      <c r="A157" s="17">
        <v>155</v>
      </c>
      <c r="B157" s="18" t="s">
        <v>774</v>
      </c>
      <c r="C157" s="19" t="s">
        <v>775</v>
      </c>
      <c r="D157" s="20" t="s">
        <v>776</v>
      </c>
      <c r="E157" s="21">
        <v>191000</v>
      </c>
      <c r="F157" s="20" t="s">
        <v>21</v>
      </c>
      <c r="G157" s="20" t="s">
        <v>21</v>
      </c>
      <c r="H157" s="22" t="s">
        <v>140</v>
      </c>
      <c r="I157" s="23" t="s">
        <v>141</v>
      </c>
      <c r="J157" s="24" t="s">
        <v>577</v>
      </c>
      <c r="K157" s="25">
        <f t="shared" si="13"/>
        <v>45738</v>
      </c>
      <c r="L157" s="26" t="str">
        <f t="shared" si="14"/>
        <v>Mar 25</v>
      </c>
      <c r="M157" s="26" t="str">
        <f t="shared" si="15"/>
        <v>2025</v>
      </c>
      <c r="N157" s="23" t="s">
        <v>777</v>
      </c>
      <c r="O157" s="25">
        <f t="shared" si="18"/>
        <v>45791</v>
      </c>
      <c r="P157" s="27">
        <f t="shared" si="16"/>
        <v>1</v>
      </c>
      <c r="Q157" s="27">
        <f t="shared" si="17"/>
        <v>0</v>
      </c>
      <c r="R157" s="28" t="s">
        <v>65</v>
      </c>
      <c r="S157" s="21">
        <v>17370</v>
      </c>
      <c r="T157" s="18" t="s">
        <v>23</v>
      </c>
      <c r="U157" s="14"/>
    </row>
    <row r="158" spans="1:21" x14ac:dyDescent="0.2">
      <c r="A158" s="17">
        <v>156</v>
      </c>
      <c r="B158" s="18" t="s">
        <v>778</v>
      </c>
      <c r="C158" s="19" t="s">
        <v>779</v>
      </c>
      <c r="D158" s="20" t="s">
        <v>780</v>
      </c>
      <c r="E158" s="21">
        <v>130000</v>
      </c>
      <c r="F158" s="20" t="s">
        <v>781</v>
      </c>
      <c r="G158" s="20" t="s">
        <v>21</v>
      </c>
      <c r="H158" s="22" t="s">
        <v>257</v>
      </c>
      <c r="I158" s="23" t="s">
        <v>258</v>
      </c>
      <c r="J158" s="24" t="s">
        <v>688</v>
      </c>
      <c r="K158" s="25">
        <f t="shared" si="13"/>
        <v>45782</v>
      </c>
      <c r="L158" s="26" t="str">
        <f t="shared" si="14"/>
        <v>May 25</v>
      </c>
      <c r="M158" s="26" t="str">
        <f t="shared" si="15"/>
        <v>2025</v>
      </c>
      <c r="N158" s="23" t="s">
        <v>769</v>
      </c>
      <c r="O158" s="25">
        <f t="shared" si="18"/>
        <v>45790</v>
      </c>
      <c r="P158" s="27">
        <f t="shared" si="16"/>
        <v>0</v>
      </c>
      <c r="Q158" s="27">
        <f t="shared" si="17"/>
        <v>0</v>
      </c>
      <c r="R158" s="28" t="s">
        <v>22</v>
      </c>
      <c r="S158" s="21">
        <v>31225</v>
      </c>
      <c r="T158" s="18" t="s">
        <v>23</v>
      </c>
      <c r="U158" s="14"/>
    </row>
    <row r="159" spans="1:21" x14ac:dyDescent="0.2">
      <c r="A159" s="17">
        <v>157</v>
      </c>
      <c r="B159" s="18" t="s">
        <v>782</v>
      </c>
      <c r="C159" s="19" t="s">
        <v>783</v>
      </c>
      <c r="D159" s="20" t="s">
        <v>784</v>
      </c>
      <c r="E159" s="21">
        <v>180000</v>
      </c>
      <c r="F159" s="20" t="s">
        <v>21</v>
      </c>
      <c r="G159" s="20" t="s">
        <v>21</v>
      </c>
      <c r="H159" s="22" t="s">
        <v>785</v>
      </c>
      <c r="I159" s="23" t="s">
        <v>786</v>
      </c>
      <c r="J159" s="24" t="s">
        <v>630</v>
      </c>
      <c r="K159" s="25">
        <f t="shared" si="13"/>
        <v>45776</v>
      </c>
      <c r="L159" s="26" t="str">
        <f t="shared" si="14"/>
        <v>Apr 25</v>
      </c>
      <c r="M159" s="26" t="str">
        <f t="shared" si="15"/>
        <v>2025</v>
      </c>
      <c r="N159" s="23" t="s">
        <v>97</v>
      </c>
      <c r="O159" s="25">
        <f t="shared" si="18"/>
        <v>45796</v>
      </c>
      <c r="P159" s="27">
        <f t="shared" si="16"/>
        <v>0</v>
      </c>
      <c r="Q159" s="27">
        <f t="shared" si="17"/>
        <v>0</v>
      </c>
      <c r="R159" s="28" t="s">
        <v>22</v>
      </c>
      <c r="S159" s="21">
        <v>63000</v>
      </c>
      <c r="T159" s="18" t="s">
        <v>23</v>
      </c>
      <c r="U159" s="14"/>
    </row>
    <row r="160" spans="1:21" x14ac:dyDescent="0.2">
      <c r="A160" s="17">
        <v>158</v>
      </c>
      <c r="B160" s="18" t="s">
        <v>787</v>
      </c>
      <c r="C160" s="19" t="s">
        <v>788</v>
      </c>
      <c r="D160" s="20" t="s">
        <v>789</v>
      </c>
      <c r="E160" s="21">
        <v>700000</v>
      </c>
      <c r="F160" s="20" t="s">
        <v>21</v>
      </c>
      <c r="G160" s="20" t="s">
        <v>21</v>
      </c>
      <c r="H160" s="22" t="s">
        <v>235</v>
      </c>
      <c r="I160" s="23" t="s">
        <v>303</v>
      </c>
      <c r="J160" s="24" t="s">
        <v>790</v>
      </c>
      <c r="K160" s="25">
        <f t="shared" si="13"/>
        <v>45765</v>
      </c>
      <c r="L160" s="26" t="str">
        <f t="shared" si="14"/>
        <v>Apr 25</v>
      </c>
      <c r="M160" s="26" t="str">
        <f t="shared" si="15"/>
        <v>2025</v>
      </c>
      <c r="N160" s="23" t="s">
        <v>791</v>
      </c>
      <c r="O160" s="25">
        <f t="shared" si="18"/>
        <v>45797</v>
      </c>
      <c r="P160" s="27">
        <f t="shared" si="16"/>
        <v>1</v>
      </c>
      <c r="Q160" s="27">
        <f t="shared" si="17"/>
        <v>0</v>
      </c>
      <c r="R160" s="28" t="s">
        <v>22</v>
      </c>
      <c r="S160" s="21">
        <v>391500</v>
      </c>
      <c r="T160" s="18" t="s">
        <v>23</v>
      </c>
      <c r="U160" s="14"/>
    </row>
    <row r="161" spans="1:21" x14ac:dyDescent="0.2">
      <c r="A161" s="17">
        <v>159</v>
      </c>
      <c r="B161" s="18" t="s">
        <v>792</v>
      </c>
      <c r="C161" s="19" t="s">
        <v>793</v>
      </c>
      <c r="D161" s="20" t="s">
        <v>794</v>
      </c>
      <c r="E161" s="21" t="s">
        <v>795</v>
      </c>
      <c r="F161" s="20" t="s">
        <v>21</v>
      </c>
      <c r="G161" s="20" t="s">
        <v>21</v>
      </c>
      <c r="H161" s="22" t="s">
        <v>480</v>
      </c>
      <c r="I161" s="23" t="s">
        <v>141</v>
      </c>
      <c r="J161" s="24" t="s">
        <v>796</v>
      </c>
      <c r="K161" s="25">
        <f t="shared" si="13"/>
        <v>45647</v>
      </c>
      <c r="L161" s="26" t="str">
        <f t="shared" si="14"/>
        <v>Dec 24</v>
      </c>
      <c r="M161" s="26" t="str">
        <f t="shared" si="15"/>
        <v>2024</v>
      </c>
      <c r="N161" s="23" t="s">
        <v>791</v>
      </c>
      <c r="O161" s="25">
        <f t="shared" si="18"/>
        <v>45797</v>
      </c>
      <c r="P161" s="27">
        <f t="shared" si="16"/>
        <v>4</v>
      </c>
      <c r="Q161" s="27">
        <f t="shared" si="17"/>
        <v>1</v>
      </c>
      <c r="R161" s="28" t="s">
        <v>22</v>
      </c>
      <c r="S161" s="21">
        <v>11222.81</v>
      </c>
      <c r="T161" s="18" t="s">
        <v>23</v>
      </c>
      <c r="U161" s="14"/>
    </row>
    <row r="162" spans="1:21" x14ac:dyDescent="0.2">
      <c r="A162" s="17">
        <v>160</v>
      </c>
      <c r="B162" s="18" t="s">
        <v>797</v>
      </c>
      <c r="C162" s="18" t="s">
        <v>798</v>
      </c>
      <c r="D162" s="20" t="s">
        <v>799</v>
      </c>
      <c r="E162" s="21">
        <v>70000</v>
      </c>
      <c r="F162" s="20" t="s">
        <v>21</v>
      </c>
      <c r="G162" s="20" t="s">
        <v>21</v>
      </c>
      <c r="H162" s="22" t="s">
        <v>575</v>
      </c>
      <c r="I162" s="23" t="s">
        <v>800</v>
      </c>
      <c r="J162" s="24" t="s">
        <v>801</v>
      </c>
      <c r="K162" s="25">
        <f t="shared" si="13"/>
        <v>45781</v>
      </c>
      <c r="L162" s="26" t="str">
        <f t="shared" si="14"/>
        <v>May 25</v>
      </c>
      <c r="M162" s="26" t="str">
        <f t="shared" si="15"/>
        <v>2025</v>
      </c>
      <c r="N162" s="23" t="s">
        <v>802</v>
      </c>
      <c r="O162" s="25">
        <f t="shared" si="18"/>
        <v>45798</v>
      </c>
      <c r="P162" s="27">
        <f t="shared" si="16"/>
        <v>0</v>
      </c>
      <c r="Q162" s="27">
        <f t="shared" si="17"/>
        <v>0</v>
      </c>
      <c r="R162" s="28" t="s">
        <v>22</v>
      </c>
      <c r="S162" s="21">
        <v>30720</v>
      </c>
      <c r="T162" s="18" t="s">
        <v>23</v>
      </c>
      <c r="U162" s="14"/>
    </row>
    <row r="163" spans="1:21" x14ac:dyDescent="0.2">
      <c r="A163" s="17">
        <v>161</v>
      </c>
      <c r="B163" s="18" t="s">
        <v>803</v>
      </c>
      <c r="C163" s="19" t="s">
        <v>804</v>
      </c>
      <c r="D163" s="20" t="s">
        <v>805</v>
      </c>
      <c r="E163" s="21">
        <v>80000</v>
      </c>
      <c r="F163" s="20" t="s">
        <v>806</v>
      </c>
      <c r="G163" s="20" t="s">
        <v>21</v>
      </c>
      <c r="H163" s="22" t="s">
        <v>807</v>
      </c>
      <c r="I163" s="23" t="s">
        <v>808</v>
      </c>
      <c r="J163" s="24" t="s">
        <v>501</v>
      </c>
      <c r="K163" s="25">
        <f t="shared" si="13"/>
        <v>45812</v>
      </c>
      <c r="L163" s="26" t="str">
        <f t="shared" si="14"/>
        <v>Jun 25</v>
      </c>
      <c r="M163" s="26" t="str">
        <f t="shared" si="15"/>
        <v>2025</v>
      </c>
      <c r="N163" s="23" t="s">
        <v>809</v>
      </c>
      <c r="O163" s="25">
        <f t="shared" si="18"/>
        <v>45819</v>
      </c>
      <c r="P163" s="27">
        <f t="shared" si="16"/>
        <v>0</v>
      </c>
      <c r="Q163" s="27">
        <f t="shared" si="17"/>
        <v>0</v>
      </c>
      <c r="R163" s="28" t="s">
        <v>22</v>
      </c>
      <c r="S163" s="21">
        <v>31843.8</v>
      </c>
      <c r="T163" s="18" t="s">
        <v>23</v>
      </c>
      <c r="U163" s="14"/>
    </row>
    <row r="164" spans="1:21" x14ac:dyDescent="0.2">
      <c r="A164" s="17">
        <v>162</v>
      </c>
      <c r="B164" s="18" t="s">
        <v>810</v>
      </c>
      <c r="C164" s="19" t="s">
        <v>811</v>
      </c>
      <c r="D164" s="20" t="s">
        <v>812</v>
      </c>
      <c r="E164" s="21">
        <v>50000</v>
      </c>
      <c r="F164" s="20" t="s">
        <v>21</v>
      </c>
      <c r="G164" s="20" t="s">
        <v>21</v>
      </c>
      <c r="H164" s="22" t="s">
        <v>140</v>
      </c>
      <c r="I164" s="23" t="s">
        <v>141</v>
      </c>
      <c r="J164" s="24" t="s">
        <v>807</v>
      </c>
      <c r="K164" s="25">
        <f t="shared" si="13"/>
        <v>45788</v>
      </c>
      <c r="L164" s="26" t="str">
        <f t="shared" si="14"/>
        <v>May 25</v>
      </c>
      <c r="M164" s="26" t="str">
        <f t="shared" si="15"/>
        <v>2025</v>
      </c>
      <c r="N164" s="23" t="s">
        <v>813</v>
      </c>
      <c r="O164" s="25">
        <f t="shared" si="18"/>
        <v>45805</v>
      </c>
      <c r="P164" s="27">
        <f t="shared" si="16"/>
        <v>0</v>
      </c>
      <c r="Q164" s="27">
        <f t="shared" si="17"/>
        <v>0</v>
      </c>
      <c r="R164" s="28" t="s">
        <v>22</v>
      </c>
      <c r="S164" s="21">
        <v>1800</v>
      </c>
      <c r="T164" s="18" t="s">
        <v>23</v>
      </c>
      <c r="U164" s="14"/>
    </row>
    <row r="165" spans="1:21" x14ac:dyDescent="0.2">
      <c r="A165" s="17">
        <v>163</v>
      </c>
      <c r="B165" s="18" t="s">
        <v>814</v>
      </c>
      <c r="C165" s="19" t="s">
        <v>815</v>
      </c>
      <c r="D165" s="20" t="s">
        <v>816</v>
      </c>
      <c r="E165" s="21">
        <v>100000</v>
      </c>
      <c r="F165" s="20" t="s">
        <v>21</v>
      </c>
      <c r="G165" s="20" t="s">
        <v>21</v>
      </c>
      <c r="H165" s="22" t="s">
        <v>363</v>
      </c>
      <c r="I165" s="23" t="s">
        <v>817</v>
      </c>
      <c r="J165" s="24" t="s">
        <v>818</v>
      </c>
      <c r="K165" s="25">
        <f t="shared" si="13"/>
        <v>140</v>
      </c>
      <c r="L165" s="26" t="str">
        <f t="shared" si="14"/>
        <v>May 00</v>
      </c>
      <c r="M165" s="26" t="str">
        <f t="shared" si="15"/>
        <v>1900</v>
      </c>
      <c r="N165" s="23" t="s">
        <v>813</v>
      </c>
      <c r="O165" s="25">
        <f t="shared" si="18"/>
        <v>45805</v>
      </c>
      <c r="P165" s="27">
        <f t="shared" si="16"/>
        <v>1500</v>
      </c>
      <c r="Q165" s="27">
        <f t="shared" si="17"/>
        <v>125</v>
      </c>
      <c r="R165" s="28" t="s">
        <v>22</v>
      </c>
      <c r="S165" s="21">
        <v>54900</v>
      </c>
      <c r="T165" s="18" t="s">
        <v>23</v>
      </c>
      <c r="U165" s="14"/>
    </row>
    <row r="166" spans="1:21" x14ac:dyDescent="0.2">
      <c r="A166" s="17">
        <v>164</v>
      </c>
      <c r="B166" s="18" t="s">
        <v>819</v>
      </c>
      <c r="C166" s="19" t="s">
        <v>820</v>
      </c>
      <c r="D166" s="20" t="s">
        <v>821</v>
      </c>
      <c r="E166" s="21">
        <v>60000</v>
      </c>
      <c r="F166" s="20" t="s">
        <v>21</v>
      </c>
      <c r="G166" s="20" t="s">
        <v>21</v>
      </c>
      <c r="H166" s="22" t="s">
        <v>576</v>
      </c>
      <c r="I166" s="23">
        <v>2204.2026000000001</v>
      </c>
      <c r="J166" s="24" t="s">
        <v>769</v>
      </c>
      <c r="K166" s="25">
        <f t="shared" si="13"/>
        <v>45790</v>
      </c>
      <c r="L166" s="26" t="str">
        <f t="shared" si="14"/>
        <v>May 25</v>
      </c>
      <c r="M166" s="26" t="str">
        <f t="shared" si="15"/>
        <v>2025</v>
      </c>
      <c r="N166" s="23" t="s">
        <v>769</v>
      </c>
      <c r="O166" s="25">
        <f t="shared" si="18"/>
        <v>45790</v>
      </c>
      <c r="P166" s="27">
        <f t="shared" si="16"/>
        <v>0</v>
      </c>
      <c r="Q166" s="27">
        <f t="shared" si="17"/>
        <v>0</v>
      </c>
      <c r="R166" s="28" t="s">
        <v>22</v>
      </c>
      <c r="S166" s="21">
        <v>2430</v>
      </c>
      <c r="T166" s="18" t="s">
        <v>23</v>
      </c>
      <c r="U166" s="14"/>
    </row>
    <row r="167" spans="1:21" x14ac:dyDescent="0.2">
      <c r="A167" s="17">
        <v>165</v>
      </c>
      <c r="B167" s="18" t="s">
        <v>822</v>
      </c>
      <c r="C167" s="19" t="s">
        <v>823</v>
      </c>
      <c r="D167" s="20" t="s">
        <v>824</v>
      </c>
      <c r="E167" s="21">
        <v>80000</v>
      </c>
      <c r="F167" s="20" t="s">
        <v>825</v>
      </c>
      <c r="G167" s="20" t="s">
        <v>21</v>
      </c>
      <c r="H167" s="22" t="s">
        <v>186</v>
      </c>
      <c r="I167" s="23" t="s">
        <v>34</v>
      </c>
      <c r="J167" s="24" t="s">
        <v>826</v>
      </c>
      <c r="K167" s="25">
        <f t="shared" si="13"/>
        <v>45793</v>
      </c>
      <c r="L167" s="26" t="str">
        <f t="shared" si="14"/>
        <v>May 25</v>
      </c>
      <c r="M167" s="26" t="str">
        <f t="shared" si="15"/>
        <v>2025</v>
      </c>
      <c r="N167" s="23" t="s">
        <v>827</v>
      </c>
      <c r="O167" s="25">
        <f t="shared" si="18"/>
        <v>45799</v>
      </c>
      <c r="P167" s="27">
        <f t="shared" si="16"/>
        <v>0</v>
      </c>
      <c r="Q167" s="27">
        <f t="shared" si="17"/>
        <v>0</v>
      </c>
      <c r="R167" s="28" t="s">
        <v>22</v>
      </c>
      <c r="S167" s="21">
        <v>15300</v>
      </c>
      <c r="T167" s="18" t="s">
        <v>23</v>
      </c>
      <c r="U167" s="14"/>
    </row>
    <row r="168" spans="1:21" x14ac:dyDescent="0.2">
      <c r="A168" s="17">
        <v>166</v>
      </c>
      <c r="B168" s="18" t="s">
        <v>774</v>
      </c>
      <c r="C168" s="19" t="s">
        <v>828</v>
      </c>
      <c r="D168" s="20" t="s">
        <v>829</v>
      </c>
      <c r="E168" s="21">
        <v>1500000</v>
      </c>
      <c r="F168" s="20" t="s">
        <v>21</v>
      </c>
      <c r="G168" s="20" t="s">
        <v>21</v>
      </c>
      <c r="H168" s="22" t="s">
        <v>140</v>
      </c>
      <c r="I168" s="23" t="s">
        <v>141</v>
      </c>
      <c r="J168" s="24" t="s">
        <v>506</v>
      </c>
      <c r="K168" s="25">
        <f t="shared" si="13"/>
        <v>45732</v>
      </c>
      <c r="L168" s="26" t="str">
        <f t="shared" si="14"/>
        <v>Mar 25</v>
      </c>
      <c r="M168" s="26" t="str">
        <f t="shared" si="15"/>
        <v>2025</v>
      </c>
      <c r="N168" s="23" t="s">
        <v>647</v>
      </c>
      <c r="O168" s="25">
        <f t="shared" si="18"/>
        <v>45806</v>
      </c>
      <c r="P168" s="27">
        <f t="shared" si="16"/>
        <v>2</v>
      </c>
      <c r="Q168" s="27">
        <f t="shared" si="17"/>
        <v>0</v>
      </c>
      <c r="R168" s="28" t="s">
        <v>22</v>
      </c>
      <c r="S168" s="21">
        <v>84537.9</v>
      </c>
      <c r="T168" s="18" t="s">
        <v>23</v>
      </c>
      <c r="U168" s="14"/>
    </row>
    <row r="169" spans="1:21" x14ac:dyDescent="0.2">
      <c r="A169" s="17">
        <v>167</v>
      </c>
      <c r="B169" s="18" t="s">
        <v>830</v>
      </c>
      <c r="C169" s="51" t="s">
        <v>831</v>
      </c>
      <c r="D169" s="52" t="s">
        <v>832</v>
      </c>
      <c r="E169" s="53">
        <v>50000</v>
      </c>
      <c r="F169" s="52" t="s">
        <v>833</v>
      </c>
      <c r="G169" s="52" t="s">
        <v>21</v>
      </c>
      <c r="H169" s="54" t="s">
        <v>369</v>
      </c>
      <c r="I169" s="55" t="s">
        <v>834</v>
      </c>
      <c r="J169" s="24" t="s">
        <v>746</v>
      </c>
      <c r="K169" s="25">
        <f t="shared" si="13"/>
        <v>45785</v>
      </c>
      <c r="L169" s="26" t="str">
        <f t="shared" si="14"/>
        <v>May 25</v>
      </c>
      <c r="M169" s="26" t="str">
        <f t="shared" si="15"/>
        <v>2025</v>
      </c>
      <c r="N169" s="23" t="s">
        <v>827</v>
      </c>
      <c r="O169" s="25">
        <f t="shared" si="18"/>
        <v>45799</v>
      </c>
      <c r="P169" s="27">
        <f t="shared" si="16"/>
        <v>0</v>
      </c>
      <c r="Q169" s="27">
        <f t="shared" si="17"/>
        <v>0</v>
      </c>
      <c r="R169" s="28" t="s">
        <v>22</v>
      </c>
      <c r="S169" s="21">
        <v>20799.259999999998</v>
      </c>
      <c r="T169" s="18" t="s">
        <v>23</v>
      </c>
      <c r="U169" s="14"/>
    </row>
    <row r="170" spans="1:21" x14ac:dyDescent="0.2">
      <c r="A170" s="17">
        <v>168</v>
      </c>
      <c r="B170" s="56" t="s">
        <v>835</v>
      </c>
      <c r="C170" s="19" t="s">
        <v>836</v>
      </c>
      <c r="D170" s="20" t="s">
        <v>837</v>
      </c>
      <c r="E170" s="21">
        <v>75000</v>
      </c>
      <c r="F170" s="20" t="s">
        <v>21</v>
      </c>
      <c r="G170" s="20" t="s">
        <v>21</v>
      </c>
      <c r="H170" s="22" t="s">
        <v>27</v>
      </c>
      <c r="I170" s="23" t="s">
        <v>34</v>
      </c>
      <c r="J170" s="57" t="s">
        <v>27</v>
      </c>
      <c r="K170" s="25">
        <f t="shared" si="13"/>
        <v>45839</v>
      </c>
      <c r="L170" s="26" t="str">
        <f t="shared" si="14"/>
        <v>Jul 25</v>
      </c>
      <c r="M170" s="26" t="str">
        <f t="shared" si="15"/>
        <v>2025</v>
      </c>
      <c r="N170" s="55" t="s">
        <v>34</v>
      </c>
      <c r="O170" s="25">
        <f t="shared" si="18"/>
        <v>45838</v>
      </c>
      <c r="P170" s="27" t="e">
        <f t="shared" si="16"/>
        <v>#NUM!</v>
      </c>
      <c r="Q170" s="27">
        <f t="shared" si="17"/>
        <v>0</v>
      </c>
      <c r="R170" s="56" t="s">
        <v>22</v>
      </c>
      <c r="S170" s="53">
        <v>3150</v>
      </c>
      <c r="T170" s="18" t="s">
        <v>23</v>
      </c>
      <c r="U170" s="14"/>
    </row>
    <row r="171" spans="1:21" x14ac:dyDescent="0.2">
      <c r="A171" s="17">
        <v>169</v>
      </c>
      <c r="B171" s="18" t="s">
        <v>838</v>
      </c>
      <c r="C171" s="19" t="s">
        <v>839</v>
      </c>
      <c r="D171" s="20" t="s">
        <v>840</v>
      </c>
      <c r="E171" s="21" t="s">
        <v>374</v>
      </c>
      <c r="F171" s="20" t="s">
        <v>841</v>
      </c>
      <c r="G171" s="20" t="s">
        <v>21</v>
      </c>
      <c r="H171" s="22" t="s">
        <v>188</v>
      </c>
      <c r="I171" s="23" t="s">
        <v>718</v>
      </c>
      <c r="J171" s="24" t="s">
        <v>576</v>
      </c>
      <c r="K171" s="25">
        <f t="shared" si="13"/>
        <v>45769</v>
      </c>
      <c r="L171" s="26" t="str">
        <f t="shared" si="14"/>
        <v>Apr 25</v>
      </c>
      <c r="M171" s="26" t="str">
        <f t="shared" si="15"/>
        <v>2025</v>
      </c>
      <c r="N171" s="23" t="s">
        <v>842</v>
      </c>
      <c r="O171" s="25">
        <f t="shared" si="18"/>
        <v>156</v>
      </c>
      <c r="P171" s="27" t="e">
        <f t="shared" si="16"/>
        <v>#NUM!</v>
      </c>
      <c r="Q171" s="27">
        <f t="shared" si="17"/>
        <v>-125</v>
      </c>
      <c r="R171" s="28" t="s">
        <v>22</v>
      </c>
      <c r="S171" s="21">
        <v>26550</v>
      </c>
      <c r="T171" s="18" t="s">
        <v>23</v>
      </c>
      <c r="U171" s="14"/>
    </row>
    <row r="172" spans="1:21" x14ac:dyDescent="0.2">
      <c r="A172" s="17">
        <v>170</v>
      </c>
      <c r="B172" s="18" t="s">
        <v>843</v>
      </c>
      <c r="C172" s="19" t="s">
        <v>844</v>
      </c>
      <c r="D172" s="20" t="s">
        <v>845</v>
      </c>
      <c r="E172" s="21">
        <v>300000</v>
      </c>
      <c r="F172" s="20" t="s">
        <v>21</v>
      </c>
      <c r="G172" s="20" t="s">
        <v>21</v>
      </c>
      <c r="H172" s="22" t="s">
        <v>846</v>
      </c>
      <c r="I172" s="23" t="s">
        <v>259</v>
      </c>
      <c r="J172" s="24" t="s">
        <v>802</v>
      </c>
      <c r="K172" s="25">
        <f t="shared" si="13"/>
        <v>45798</v>
      </c>
      <c r="L172" s="26" t="str">
        <f t="shared" si="14"/>
        <v>May 25</v>
      </c>
      <c r="M172" s="26" t="str">
        <f t="shared" si="15"/>
        <v>2025</v>
      </c>
      <c r="N172" s="23" t="s">
        <v>688</v>
      </c>
      <c r="O172" s="25">
        <f t="shared" si="18"/>
        <v>45782</v>
      </c>
      <c r="P172" s="27" t="e">
        <f t="shared" si="16"/>
        <v>#NUM!</v>
      </c>
      <c r="Q172" s="27">
        <f t="shared" si="17"/>
        <v>0</v>
      </c>
      <c r="R172" s="28" t="s">
        <v>22</v>
      </c>
      <c r="S172" s="21">
        <v>270000</v>
      </c>
      <c r="T172" s="18" t="s">
        <v>23</v>
      </c>
      <c r="U172" s="14"/>
    </row>
    <row r="173" spans="1:21" x14ac:dyDescent="0.2">
      <c r="A173" s="17">
        <v>171</v>
      </c>
      <c r="B173" s="18" t="s">
        <v>847</v>
      </c>
      <c r="C173" s="19" t="s">
        <v>848</v>
      </c>
      <c r="D173" s="20" t="s">
        <v>849</v>
      </c>
      <c r="E173" s="21">
        <v>120000</v>
      </c>
      <c r="F173" s="20" t="s">
        <v>21</v>
      </c>
      <c r="G173" s="20" t="s">
        <v>21</v>
      </c>
      <c r="H173" s="22" t="s">
        <v>850</v>
      </c>
      <c r="I173" s="23" t="s">
        <v>851</v>
      </c>
      <c r="J173" s="24" t="s">
        <v>807</v>
      </c>
      <c r="K173" s="25">
        <f t="shared" si="13"/>
        <v>45788</v>
      </c>
      <c r="L173" s="26" t="str">
        <f t="shared" si="14"/>
        <v>May 25</v>
      </c>
      <c r="M173" s="26" t="str">
        <f t="shared" si="15"/>
        <v>2025</v>
      </c>
      <c r="N173" s="23" t="s">
        <v>852</v>
      </c>
      <c r="O173" s="25">
        <f t="shared" si="18"/>
        <v>45804</v>
      </c>
      <c r="P173" s="27">
        <f t="shared" si="16"/>
        <v>0</v>
      </c>
      <c r="Q173" s="27">
        <f t="shared" si="17"/>
        <v>0</v>
      </c>
      <c r="R173" s="28" t="s">
        <v>22</v>
      </c>
      <c r="S173" s="21">
        <v>7962.75</v>
      </c>
      <c r="T173" s="18" t="s">
        <v>23</v>
      </c>
      <c r="U173" s="14"/>
    </row>
    <row r="174" spans="1:21" x14ac:dyDescent="0.2">
      <c r="A174" s="17">
        <v>172</v>
      </c>
      <c r="B174" s="18" t="s">
        <v>853</v>
      </c>
      <c r="C174" s="18" t="s">
        <v>854</v>
      </c>
      <c r="D174" s="20" t="s">
        <v>855</v>
      </c>
      <c r="E174" s="21">
        <v>40000</v>
      </c>
      <c r="F174" s="20" t="s">
        <v>21</v>
      </c>
      <c r="G174" s="20" t="s">
        <v>21</v>
      </c>
      <c r="H174" s="22" t="s">
        <v>229</v>
      </c>
      <c r="I174" s="23" t="s">
        <v>856</v>
      </c>
      <c r="J174" s="24" t="s">
        <v>791</v>
      </c>
      <c r="K174" s="25">
        <f t="shared" si="13"/>
        <v>45797</v>
      </c>
      <c r="L174" s="26" t="str">
        <f t="shared" si="14"/>
        <v>May 25</v>
      </c>
      <c r="M174" s="26" t="str">
        <f t="shared" si="15"/>
        <v>2025</v>
      </c>
      <c r="N174" s="23" t="s">
        <v>857</v>
      </c>
      <c r="O174" s="25">
        <f t="shared" si="18"/>
        <v>45814</v>
      </c>
      <c r="P174" s="27">
        <f t="shared" si="16"/>
        <v>0</v>
      </c>
      <c r="Q174" s="27">
        <f t="shared" si="17"/>
        <v>0</v>
      </c>
      <c r="R174" s="28" t="s">
        <v>22</v>
      </c>
      <c r="S174" s="21">
        <v>2385</v>
      </c>
      <c r="T174" s="18" t="s">
        <v>23</v>
      </c>
      <c r="U174" s="14"/>
    </row>
    <row r="175" spans="1:21" x14ac:dyDescent="0.2">
      <c r="A175" s="17">
        <v>173</v>
      </c>
      <c r="B175" s="18" t="s">
        <v>858</v>
      </c>
      <c r="C175" s="19" t="s">
        <v>859</v>
      </c>
      <c r="D175" s="20" t="s">
        <v>860</v>
      </c>
      <c r="E175" s="21">
        <v>165336</v>
      </c>
      <c r="F175" s="20" t="s">
        <v>21</v>
      </c>
      <c r="G175" s="20" t="s">
        <v>21</v>
      </c>
      <c r="H175" s="22" t="s">
        <v>140</v>
      </c>
      <c r="I175" s="23" t="s">
        <v>141</v>
      </c>
      <c r="J175" s="24" t="s">
        <v>675</v>
      </c>
      <c r="K175" s="25">
        <f t="shared" si="13"/>
        <v>45777</v>
      </c>
      <c r="L175" s="26" t="str">
        <f t="shared" si="14"/>
        <v>Apr 25</v>
      </c>
      <c r="M175" s="26" t="str">
        <f t="shared" si="15"/>
        <v>2025</v>
      </c>
      <c r="N175" s="23" t="s">
        <v>861</v>
      </c>
      <c r="O175" s="25">
        <f t="shared" si="18"/>
        <v>45811</v>
      </c>
      <c r="P175" s="27">
        <f t="shared" si="16"/>
        <v>1</v>
      </c>
      <c r="Q175" s="27">
        <f t="shared" si="17"/>
        <v>0</v>
      </c>
      <c r="R175" s="28" t="s">
        <v>22</v>
      </c>
      <c r="S175" s="21">
        <v>148802.4</v>
      </c>
      <c r="T175" s="18" t="s">
        <v>23</v>
      </c>
      <c r="U175" s="14"/>
    </row>
    <row r="176" spans="1:21" x14ac:dyDescent="0.2">
      <c r="A176" s="17">
        <v>174</v>
      </c>
      <c r="B176" s="18" t="s">
        <v>862</v>
      </c>
      <c r="C176" s="19" t="s">
        <v>863</v>
      </c>
      <c r="D176" s="20" t="s">
        <v>864</v>
      </c>
      <c r="E176" s="21">
        <v>70000</v>
      </c>
      <c r="F176" s="20" t="s">
        <v>21</v>
      </c>
      <c r="G176" s="20" t="s">
        <v>21</v>
      </c>
      <c r="H176" s="22" t="s">
        <v>186</v>
      </c>
      <c r="I176" s="23" t="s">
        <v>34</v>
      </c>
      <c r="J176" s="24" t="s">
        <v>861</v>
      </c>
      <c r="K176" s="25">
        <f t="shared" si="13"/>
        <v>45811</v>
      </c>
      <c r="L176" s="26" t="str">
        <f t="shared" si="14"/>
        <v>Jun 25</v>
      </c>
      <c r="M176" s="26" t="str">
        <f t="shared" si="15"/>
        <v>2025</v>
      </c>
      <c r="N176" s="23" t="s">
        <v>865</v>
      </c>
      <c r="O176" s="25">
        <f t="shared" si="18"/>
        <v>45843</v>
      </c>
      <c r="P176" s="27">
        <f t="shared" si="16"/>
        <v>1</v>
      </c>
      <c r="Q176" s="27">
        <f t="shared" si="17"/>
        <v>0</v>
      </c>
      <c r="R176" s="28" t="s">
        <v>22</v>
      </c>
      <c r="S176" s="21">
        <v>2475</v>
      </c>
      <c r="T176" s="18" t="s">
        <v>23</v>
      </c>
      <c r="U176" s="14"/>
    </row>
    <row r="177" spans="1:21" x14ac:dyDescent="0.2">
      <c r="A177" s="17">
        <v>175</v>
      </c>
      <c r="B177" s="18" t="s">
        <v>866</v>
      </c>
      <c r="C177" s="19" t="s">
        <v>867</v>
      </c>
      <c r="D177" s="20" t="s">
        <v>868</v>
      </c>
      <c r="E177" s="21">
        <v>48000</v>
      </c>
      <c r="F177" s="20" t="s">
        <v>21</v>
      </c>
      <c r="G177" s="20" t="s">
        <v>869</v>
      </c>
      <c r="H177" s="22" t="s">
        <v>186</v>
      </c>
      <c r="I177" s="23" t="s">
        <v>34</v>
      </c>
      <c r="J177" s="24" t="s">
        <v>528</v>
      </c>
      <c r="K177" s="25">
        <f t="shared" si="13"/>
        <v>45729</v>
      </c>
      <c r="L177" s="26" t="str">
        <f t="shared" si="14"/>
        <v>Mar 25</v>
      </c>
      <c r="M177" s="26" t="str">
        <f t="shared" si="15"/>
        <v>2025</v>
      </c>
      <c r="N177" s="23" t="s">
        <v>870</v>
      </c>
      <c r="O177" s="25">
        <f t="shared" si="18"/>
        <v>45763</v>
      </c>
      <c r="P177" s="27">
        <f t="shared" si="16"/>
        <v>1</v>
      </c>
      <c r="Q177" s="27">
        <f t="shared" si="17"/>
        <v>0</v>
      </c>
      <c r="R177" s="28" t="s">
        <v>22</v>
      </c>
      <c r="S177" s="21">
        <v>6000</v>
      </c>
      <c r="T177" s="18" t="s">
        <v>23</v>
      </c>
      <c r="U177" s="14"/>
    </row>
    <row r="178" spans="1:21" x14ac:dyDescent="0.2">
      <c r="A178" s="17">
        <v>176</v>
      </c>
      <c r="B178" s="18" t="s">
        <v>871</v>
      </c>
      <c r="C178" s="19" t="s">
        <v>872</v>
      </c>
      <c r="D178" s="20" t="s">
        <v>873</v>
      </c>
      <c r="E178" s="21">
        <v>80000</v>
      </c>
      <c r="F178" s="20" t="s">
        <v>21</v>
      </c>
      <c r="G178" s="20" t="s">
        <v>21</v>
      </c>
      <c r="H178" s="22" t="s">
        <v>125</v>
      </c>
      <c r="I178" s="23" t="s">
        <v>126</v>
      </c>
      <c r="J178" s="24" t="s">
        <v>827</v>
      </c>
      <c r="K178" s="25">
        <f t="shared" si="13"/>
        <v>45799</v>
      </c>
      <c r="L178" s="26" t="str">
        <f t="shared" si="14"/>
        <v>May 25</v>
      </c>
      <c r="M178" s="26" t="str">
        <f t="shared" si="15"/>
        <v>2025</v>
      </c>
      <c r="N178" s="23" t="s">
        <v>861</v>
      </c>
      <c r="O178" s="25">
        <f t="shared" si="18"/>
        <v>45811</v>
      </c>
      <c r="P178" s="27">
        <f t="shared" si="16"/>
        <v>0</v>
      </c>
      <c r="Q178" s="27">
        <f t="shared" si="17"/>
        <v>0</v>
      </c>
      <c r="R178" s="28" t="s">
        <v>22</v>
      </c>
      <c r="S178" s="21">
        <v>19179</v>
      </c>
      <c r="T178" s="18" t="s">
        <v>23</v>
      </c>
      <c r="U178" s="14"/>
    </row>
    <row r="179" spans="1:21" x14ac:dyDescent="0.2">
      <c r="A179" s="17">
        <v>177</v>
      </c>
      <c r="B179" s="18" t="s">
        <v>874</v>
      </c>
      <c r="C179" s="19" t="s">
        <v>875</v>
      </c>
      <c r="D179" s="20" t="s">
        <v>876</v>
      </c>
      <c r="E179" s="21">
        <v>120000</v>
      </c>
      <c r="F179" s="20" t="s">
        <v>21</v>
      </c>
      <c r="G179" s="20" t="s">
        <v>21</v>
      </c>
      <c r="H179" s="22" t="s">
        <v>110</v>
      </c>
      <c r="I179" s="23" t="s">
        <v>111</v>
      </c>
      <c r="J179" s="24" t="s">
        <v>877</v>
      </c>
      <c r="K179" s="25">
        <f t="shared" si="13"/>
        <v>45807</v>
      </c>
      <c r="L179" s="26" t="str">
        <f t="shared" si="14"/>
        <v>May 25</v>
      </c>
      <c r="M179" s="26" t="str">
        <f t="shared" si="15"/>
        <v>2025</v>
      </c>
      <c r="N179" s="23" t="s">
        <v>878</v>
      </c>
      <c r="O179" s="25">
        <f t="shared" si="18"/>
        <v>45813</v>
      </c>
      <c r="P179" s="27">
        <f t="shared" si="16"/>
        <v>0</v>
      </c>
      <c r="Q179" s="27">
        <f t="shared" si="17"/>
        <v>0</v>
      </c>
      <c r="R179" s="28" t="s">
        <v>22</v>
      </c>
      <c r="S179" s="21">
        <v>41175</v>
      </c>
      <c r="T179" s="18" t="s">
        <v>23</v>
      </c>
      <c r="U179" s="14"/>
    </row>
    <row r="180" spans="1:21" x14ac:dyDescent="0.2">
      <c r="A180" s="17">
        <v>178</v>
      </c>
      <c r="B180" s="18" t="s">
        <v>879</v>
      </c>
      <c r="C180" s="19" t="s">
        <v>880</v>
      </c>
      <c r="D180" s="20" t="s">
        <v>881</v>
      </c>
      <c r="E180" s="21">
        <v>80000</v>
      </c>
      <c r="F180" s="20" t="s">
        <v>21</v>
      </c>
      <c r="G180" s="20" t="s">
        <v>21</v>
      </c>
      <c r="H180" s="22">
        <v>45658</v>
      </c>
      <c r="I180" s="23">
        <v>46022</v>
      </c>
      <c r="J180" s="24">
        <v>45783</v>
      </c>
      <c r="K180" s="25">
        <f t="shared" si="13"/>
        <v>1420779</v>
      </c>
      <c r="L180" s="26" t="str">
        <f t="shared" si="14"/>
        <v>Dec 89</v>
      </c>
      <c r="M180" s="26" t="str">
        <f t="shared" si="15"/>
        <v>5789</v>
      </c>
      <c r="N180" s="23" t="s">
        <v>882</v>
      </c>
      <c r="O180" s="25" t="e">
        <f t="shared" si="18"/>
        <v>#VALUE!</v>
      </c>
      <c r="P180" s="27" t="e">
        <f t="shared" si="16"/>
        <v>#VALUE!</v>
      </c>
      <c r="Q180" s="27" t="e">
        <f t="shared" si="17"/>
        <v>#VALUE!</v>
      </c>
      <c r="R180" s="28" t="s">
        <v>883</v>
      </c>
      <c r="S180" s="21">
        <v>5940</v>
      </c>
      <c r="T180" s="18" t="s">
        <v>23</v>
      </c>
      <c r="U180" s="14"/>
    </row>
    <row r="181" spans="1:21" x14ac:dyDescent="0.2">
      <c r="A181" s="17">
        <v>179</v>
      </c>
      <c r="B181" s="18" t="s">
        <v>884</v>
      </c>
      <c r="C181" s="19" t="s">
        <v>885</v>
      </c>
      <c r="D181" s="20" t="s">
        <v>886</v>
      </c>
      <c r="E181" s="21">
        <v>70000</v>
      </c>
      <c r="F181" s="20" t="s">
        <v>21</v>
      </c>
      <c r="G181" s="20" t="s">
        <v>21</v>
      </c>
      <c r="H181" s="22" t="s">
        <v>140</v>
      </c>
      <c r="I181" s="23" t="s">
        <v>141</v>
      </c>
      <c r="J181" s="24" t="s">
        <v>340</v>
      </c>
      <c r="K181" s="25">
        <f t="shared" si="13"/>
        <v>45950</v>
      </c>
      <c r="L181" s="26" t="str">
        <f t="shared" si="14"/>
        <v>Oct 25</v>
      </c>
      <c r="M181" s="26" t="str">
        <f t="shared" si="15"/>
        <v>2025</v>
      </c>
      <c r="N181" s="23" t="s">
        <v>887</v>
      </c>
      <c r="O181" s="25">
        <f t="shared" si="18"/>
        <v>45960</v>
      </c>
      <c r="P181" s="27">
        <f t="shared" si="16"/>
        <v>0</v>
      </c>
      <c r="Q181" s="27">
        <f t="shared" si="17"/>
        <v>0</v>
      </c>
      <c r="R181" s="28" t="s">
        <v>888</v>
      </c>
      <c r="S181" s="21">
        <v>63000</v>
      </c>
      <c r="T181" s="18" t="s">
        <v>23</v>
      </c>
      <c r="U181" s="14"/>
    </row>
    <row r="182" spans="1:21" x14ac:dyDescent="0.2">
      <c r="A182" s="17">
        <v>180</v>
      </c>
      <c r="B182" s="18" t="s">
        <v>889</v>
      </c>
      <c r="C182" s="19" t="s">
        <v>890</v>
      </c>
      <c r="D182" s="20" t="s">
        <v>886</v>
      </c>
      <c r="E182" s="21">
        <v>110000</v>
      </c>
      <c r="F182" s="20" t="s">
        <v>21</v>
      </c>
      <c r="G182" s="20" t="s">
        <v>21</v>
      </c>
      <c r="H182" s="22" t="s">
        <v>596</v>
      </c>
      <c r="I182" s="23" t="s">
        <v>891</v>
      </c>
      <c r="J182" s="24" t="s">
        <v>892</v>
      </c>
      <c r="K182" s="25">
        <f t="shared" si="13"/>
        <v>45792</v>
      </c>
      <c r="L182" s="26" t="str">
        <f t="shared" si="14"/>
        <v>May 25</v>
      </c>
      <c r="M182" s="26" t="str">
        <f t="shared" si="15"/>
        <v>2025</v>
      </c>
      <c r="N182" s="23" t="s">
        <v>893</v>
      </c>
      <c r="O182" s="25">
        <f t="shared" si="18"/>
        <v>45797</v>
      </c>
      <c r="P182" s="27">
        <f t="shared" si="16"/>
        <v>0</v>
      </c>
      <c r="Q182" s="27">
        <f t="shared" si="17"/>
        <v>0</v>
      </c>
      <c r="R182" s="28" t="s">
        <v>894</v>
      </c>
      <c r="S182" s="21">
        <v>0</v>
      </c>
      <c r="T182" s="18" t="s">
        <v>23</v>
      </c>
      <c r="U182" s="14"/>
    </row>
    <row r="183" spans="1:21" x14ac:dyDescent="0.2">
      <c r="A183" s="17">
        <v>181</v>
      </c>
      <c r="B183" s="18" t="s">
        <v>895</v>
      </c>
      <c r="C183" s="19" t="s">
        <v>896</v>
      </c>
      <c r="D183" s="20" t="s">
        <v>897</v>
      </c>
      <c r="E183" s="21">
        <v>317000</v>
      </c>
      <c r="F183" s="20" t="s">
        <v>21</v>
      </c>
      <c r="G183" s="20" t="s">
        <v>21</v>
      </c>
      <c r="H183" s="22" t="s">
        <v>465</v>
      </c>
      <c r="I183" s="23" t="s">
        <v>141</v>
      </c>
      <c r="J183" s="24" t="s">
        <v>647</v>
      </c>
      <c r="K183" s="25">
        <f t="shared" si="13"/>
        <v>45806</v>
      </c>
      <c r="L183" s="26" t="str">
        <f t="shared" si="14"/>
        <v>May 25</v>
      </c>
      <c r="M183" s="26" t="str">
        <f t="shared" si="15"/>
        <v>2025</v>
      </c>
      <c r="N183" s="23" t="s">
        <v>898</v>
      </c>
      <c r="O183" s="25">
        <f t="shared" si="18"/>
        <v>45820</v>
      </c>
      <c r="P183" s="27">
        <f t="shared" si="16"/>
        <v>0</v>
      </c>
      <c r="Q183" s="27">
        <f t="shared" si="17"/>
        <v>0</v>
      </c>
      <c r="R183" s="28" t="s">
        <v>22</v>
      </c>
      <c r="S183" s="21">
        <v>4002</v>
      </c>
      <c r="T183" s="18" t="s">
        <v>23</v>
      </c>
      <c r="U183" s="14"/>
    </row>
    <row r="184" spans="1:21" x14ac:dyDescent="0.2">
      <c r="A184" s="17">
        <v>182</v>
      </c>
      <c r="B184" s="18" t="s">
        <v>895</v>
      </c>
      <c r="C184" s="19" t="s">
        <v>899</v>
      </c>
      <c r="D184" s="20" t="s">
        <v>900</v>
      </c>
      <c r="E184" s="21">
        <v>317000</v>
      </c>
      <c r="F184" s="20" t="s">
        <v>21</v>
      </c>
      <c r="G184" s="20" t="s">
        <v>21</v>
      </c>
      <c r="H184" s="22" t="s">
        <v>465</v>
      </c>
      <c r="I184" s="23" t="s">
        <v>141</v>
      </c>
      <c r="J184" s="24">
        <v>18.052025</v>
      </c>
      <c r="K184" s="25">
        <f t="shared" si="13"/>
        <v>45795</v>
      </c>
      <c r="L184" s="26" t="str">
        <f t="shared" si="14"/>
        <v>May 25</v>
      </c>
      <c r="M184" s="26" t="str">
        <f t="shared" si="15"/>
        <v>2025</v>
      </c>
      <c r="N184" s="23" t="s">
        <v>898</v>
      </c>
      <c r="O184" s="25">
        <f t="shared" si="18"/>
        <v>45820</v>
      </c>
      <c r="P184" s="27">
        <f t="shared" si="16"/>
        <v>0</v>
      </c>
      <c r="Q184" s="27">
        <f t="shared" si="17"/>
        <v>0</v>
      </c>
      <c r="R184" s="28" t="s">
        <v>901</v>
      </c>
      <c r="S184" s="21">
        <v>105300</v>
      </c>
      <c r="T184" s="18" t="s">
        <v>23</v>
      </c>
      <c r="U184" s="14"/>
    </row>
    <row r="185" spans="1:21" x14ac:dyDescent="0.2">
      <c r="A185" s="17">
        <v>183</v>
      </c>
      <c r="B185" s="18" t="s">
        <v>902</v>
      </c>
      <c r="C185" s="19" t="s">
        <v>903</v>
      </c>
      <c r="D185" s="20" t="s">
        <v>904</v>
      </c>
      <c r="E185" s="21">
        <v>130000</v>
      </c>
      <c r="F185" s="20" t="s">
        <v>21</v>
      </c>
      <c r="G185" s="20" t="s">
        <v>905</v>
      </c>
      <c r="H185" s="22" t="s">
        <v>140</v>
      </c>
      <c r="I185" s="23" t="s">
        <v>141</v>
      </c>
      <c r="J185" s="24" t="s">
        <v>611</v>
      </c>
      <c r="K185" s="25">
        <f t="shared" si="13"/>
        <v>45754</v>
      </c>
      <c r="L185" s="26" t="str">
        <f t="shared" si="14"/>
        <v>Apr 25</v>
      </c>
      <c r="M185" s="26" t="str">
        <f t="shared" si="15"/>
        <v>2025</v>
      </c>
      <c r="N185" s="23" t="s">
        <v>611</v>
      </c>
      <c r="O185" s="25">
        <f t="shared" si="18"/>
        <v>45754</v>
      </c>
      <c r="P185" s="27">
        <f t="shared" si="16"/>
        <v>0</v>
      </c>
      <c r="Q185" s="27">
        <f t="shared" si="17"/>
        <v>0</v>
      </c>
      <c r="R185" s="28" t="s">
        <v>22</v>
      </c>
      <c r="S185" s="21">
        <v>3500</v>
      </c>
      <c r="T185" s="18" t="s">
        <v>23</v>
      </c>
      <c r="U185" s="14"/>
    </row>
    <row r="186" spans="1:21" x14ac:dyDescent="0.2">
      <c r="A186" s="17">
        <v>184</v>
      </c>
      <c r="B186" s="18" t="s">
        <v>906</v>
      </c>
      <c r="C186" s="19" t="s">
        <v>907</v>
      </c>
      <c r="D186" s="20" t="s">
        <v>908</v>
      </c>
      <c r="E186" s="21">
        <v>65000</v>
      </c>
      <c r="F186" s="20" t="s">
        <v>21</v>
      </c>
      <c r="G186" s="20" t="s">
        <v>21</v>
      </c>
      <c r="H186" s="22" t="s">
        <v>140</v>
      </c>
      <c r="I186" s="23" t="s">
        <v>141</v>
      </c>
      <c r="J186" s="24" t="s">
        <v>791</v>
      </c>
      <c r="K186" s="25">
        <f t="shared" si="13"/>
        <v>45797</v>
      </c>
      <c r="L186" s="26" t="str">
        <f t="shared" si="14"/>
        <v>May 25</v>
      </c>
      <c r="M186" s="26" t="str">
        <f t="shared" si="15"/>
        <v>2025</v>
      </c>
      <c r="N186" s="23" t="s">
        <v>909</v>
      </c>
      <c r="O186" s="25">
        <f t="shared" si="18"/>
        <v>45818</v>
      </c>
      <c r="P186" s="27">
        <f t="shared" si="16"/>
        <v>0</v>
      </c>
      <c r="Q186" s="27">
        <f t="shared" si="17"/>
        <v>0</v>
      </c>
      <c r="R186" s="28" t="s">
        <v>92</v>
      </c>
      <c r="S186" s="21">
        <v>33210</v>
      </c>
      <c r="T186" s="18" t="s">
        <v>23</v>
      </c>
      <c r="U186" s="14"/>
    </row>
    <row r="187" spans="1:21" x14ac:dyDescent="0.2">
      <c r="A187" s="17">
        <v>185</v>
      </c>
      <c r="B187" s="18" t="s">
        <v>910</v>
      </c>
      <c r="C187" s="19" t="s">
        <v>911</v>
      </c>
      <c r="D187" s="20" t="s">
        <v>912</v>
      </c>
      <c r="E187" s="21">
        <v>150000</v>
      </c>
      <c r="F187" s="20" t="s">
        <v>21</v>
      </c>
      <c r="G187" s="20" t="s">
        <v>21</v>
      </c>
      <c r="H187" s="22" t="s">
        <v>913</v>
      </c>
      <c r="I187" s="23" t="s">
        <v>914</v>
      </c>
      <c r="J187" s="24" t="s">
        <v>852</v>
      </c>
      <c r="K187" s="25">
        <f t="shared" si="13"/>
        <v>45804</v>
      </c>
      <c r="L187" s="26" t="str">
        <f t="shared" si="14"/>
        <v>May 25</v>
      </c>
      <c r="M187" s="26" t="str">
        <f t="shared" si="15"/>
        <v>2025</v>
      </c>
      <c r="N187" s="23" t="s">
        <v>898</v>
      </c>
      <c r="O187" s="25">
        <f t="shared" si="18"/>
        <v>45820</v>
      </c>
      <c r="P187" s="27">
        <f t="shared" si="16"/>
        <v>0</v>
      </c>
      <c r="Q187" s="27">
        <f t="shared" si="17"/>
        <v>0</v>
      </c>
      <c r="R187" s="28" t="s">
        <v>22</v>
      </c>
      <c r="S187" s="21">
        <v>9000</v>
      </c>
      <c r="T187" s="18" t="s">
        <v>23</v>
      </c>
      <c r="U187" s="14"/>
    </row>
    <row r="188" spans="1:21" x14ac:dyDescent="0.2">
      <c r="A188" s="17">
        <v>186</v>
      </c>
      <c r="B188" s="18" t="s">
        <v>915</v>
      </c>
      <c r="C188" s="19" t="s">
        <v>916</v>
      </c>
      <c r="D188" s="20" t="s">
        <v>917</v>
      </c>
      <c r="E188" s="21">
        <v>38928.379999999997</v>
      </c>
      <c r="F188" s="20" t="s">
        <v>21</v>
      </c>
      <c r="G188" s="20" t="s">
        <v>21</v>
      </c>
      <c r="H188" s="22" t="s">
        <v>140</v>
      </c>
      <c r="I188" s="23" t="s">
        <v>141</v>
      </c>
      <c r="J188" s="24" t="s">
        <v>727</v>
      </c>
      <c r="K188" s="25">
        <f t="shared" si="13"/>
        <v>45789</v>
      </c>
      <c r="L188" s="26" t="str">
        <f t="shared" si="14"/>
        <v>May 25</v>
      </c>
      <c r="M188" s="26" t="str">
        <f t="shared" si="15"/>
        <v>2025</v>
      </c>
      <c r="N188" s="23" t="s">
        <v>918</v>
      </c>
      <c r="O188" s="25">
        <f t="shared" si="18"/>
        <v>45824</v>
      </c>
      <c r="P188" s="27">
        <f t="shared" si="16"/>
        <v>1</v>
      </c>
      <c r="Q188" s="27">
        <f t="shared" si="17"/>
        <v>0</v>
      </c>
      <c r="R188" s="28" t="s">
        <v>22</v>
      </c>
      <c r="S188" s="21">
        <v>22050</v>
      </c>
      <c r="T188" s="18" t="s">
        <v>23</v>
      </c>
      <c r="U188" s="14"/>
    </row>
    <row r="189" spans="1:21" x14ac:dyDescent="0.2">
      <c r="A189" s="17">
        <v>187</v>
      </c>
      <c r="B189" s="18" t="s">
        <v>810</v>
      </c>
      <c r="C189" s="19" t="s">
        <v>919</v>
      </c>
      <c r="D189" s="20" t="s">
        <v>920</v>
      </c>
      <c r="E189" s="21">
        <v>450000</v>
      </c>
      <c r="F189" s="20" t="s">
        <v>921</v>
      </c>
      <c r="G189" s="20"/>
      <c r="H189" s="22" t="s">
        <v>140</v>
      </c>
      <c r="I189" s="23" t="s">
        <v>141</v>
      </c>
      <c r="J189" s="24" t="s">
        <v>922</v>
      </c>
      <c r="K189" s="25">
        <f t="shared" si="13"/>
        <v>45809</v>
      </c>
      <c r="L189" s="26" t="str">
        <f t="shared" si="14"/>
        <v>Jun 25</v>
      </c>
      <c r="M189" s="26" t="str">
        <f t="shared" si="15"/>
        <v>2025</v>
      </c>
      <c r="N189" s="23" t="s">
        <v>857</v>
      </c>
      <c r="O189" s="25">
        <f t="shared" si="18"/>
        <v>45814</v>
      </c>
      <c r="P189" s="27">
        <f t="shared" si="16"/>
        <v>0</v>
      </c>
      <c r="Q189" s="27">
        <f t="shared" si="17"/>
        <v>0</v>
      </c>
      <c r="R189" s="18" t="s">
        <v>22</v>
      </c>
      <c r="S189" s="21">
        <v>25200</v>
      </c>
      <c r="T189" s="18" t="s">
        <v>23</v>
      </c>
      <c r="U189" s="14"/>
    </row>
    <row r="190" spans="1:21" x14ac:dyDescent="0.2">
      <c r="A190" s="17">
        <v>188</v>
      </c>
      <c r="B190" s="18" t="s">
        <v>923</v>
      </c>
      <c r="C190" s="19" t="s">
        <v>924</v>
      </c>
      <c r="D190" s="20" t="s">
        <v>925</v>
      </c>
      <c r="E190" s="21">
        <v>85000</v>
      </c>
      <c r="F190" s="20" t="s">
        <v>21</v>
      </c>
      <c r="G190" s="20" t="s">
        <v>21</v>
      </c>
      <c r="H190" s="22" t="s">
        <v>140</v>
      </c>
      <c r="I190" s="23" t="s">
        <v>141</v>
      </c>
      <c r="J190" s="24" t="s">
        <v>791</v>
      </c>
      <c r="K190" s="25">
        <f t="shared" si="13"/>
        <v>45797</v>
      </c>
      <c r="L190" s="26" t="str">
        <f t="shared" si="14"/>
        <v>May 25</v>
      </c>
      <c r="M190" s="26" t="str">
        <f t="shared" si="15"/>
        <v>2025</v>
      </c>
      <c r="N190" s="23" t="s">
        <v>926</v>
      </c>
      <c r="O190" s="25">
        <f t="shared" si="18"/>
        <v>45828</v>
      </c>
      <c r="P190" s="27">
        <f t="shared" si="16"/>
        <v>1</v>
      </c>
      <c r="Q190" s="27">
        <f t="shared" si="17"/>
        <v>0</v>
      </c>
      <c r="R190" s="28" t="s">
        <v>22</v>
      </c>
      <c r="S190" s="21">
        <v>4489.2</v>
      </c>
      <c r="T190" s="18" t="s">
        <v>23</v>
      </c>
      <c r="U190" s="14"/>
    </row>
    <row r="191" spans="1:21" x14ac:dyDescent="0.2">
      <c r="A191" s="17">
        <v>189</v>
      </c>
      <c r="B191" s="18" t="s">
        <v>927</v>
      </c>
      <c r="C191" s="19" t="s">
        <v>928</v>
      </c>
      <c r="D191" s="20" t="s">
        <v>929</v>
      </c>
      <c r="E191" s="21">
        <v>125000</v>
      </c>
      <c r="F191" s="20" t="s">
        <v>21</v>
      </c>
      <c r="G191" s="20" t="s">
        <v>21</v>
      </c>
      <c r="H191" s="22" t="s">
        <v>152</v>
      </c>
      <c r="I191" s="23" t="s">
        <v>510</v>
      </c>
      <c r="J191" s="24" t="s">
        <v>930</v>
      </c>
      <c r="K191" s="25">
        <f t="shared" si="13"/>
        <v>45823</v>
      </c>
      <c r="L191" s="26" t="str">
        <f t="shared" si="14"/>
        <v>Jun 25</v>
      </c>
      <c r="M191" s="26" t="str">
        <f t="shared" si="15"/>
        <v>2025</v>
      </c>
      <c r="N191" s="23" t="s">
        <v>931</v>
      </c>
      <c r="O191" s="25">
        <f t="shared" si="18"/>
        <v>45853</v>
      </c>
      <c r="P191" s="27">
        <f t="shared" si="16"/>
        <v>1</v>
      </c>
      <c r="Q191" s="27">
        <f t="shared" si="17"/>
        <v>0</v>
      </c>
      <c r="R191" s="28" t="s">
        <v>22</v>
      </c>
      <c r="S191" s="21">
        <v>30148</v>
      </c>
      <c r="T191" s="18" t="s">
        <v>23</v>
      </c>
      <c r="U191" s="14"/>
    </row>
    <row r="192" spans="1:21" x14ac:dyDescent="0.2">
      <c r="A192" s="17">
        <v>190</v>
      </c>
      <c r="B192" s="18" t="s">
        <v>220</v>
      </c>
      <c r="C192" s="19" t="s">
        <v>221</v>
      </c>
      <c r="D192" s="20" t="s">
        <v>932</v>
      </c>
      <c r="E192" s="21">
        <v>300000</v>
      </c>
      <c r="F192" s="20" t="s">
        <v>21</v>
      </c>
      <c r="G192" s="20" t="s">
        <v>21</v>
      </c>
      <c r="H192" s="22" t="s">
        <v>110</v>
      </c>
      <c r="I192" s="23" t="s">
        <v>111</v>
      </c>
      <c r="J192" s="24" t="s">
        <v>861</v>
      </c>
      <c r="K192" s="25">
        <f t="shared" si="13"/>
        <v>45811</v>
      </c>
      <c r="L192" s="26" t="str">
        <f t="shared" si="14"/>
        <v>Jun 25</v>
      </c>
      <c r="M192" s="26" t="str">
        <f t="shared" si="15"/>
        <v>2025</v>
      </c>
      <c r="N192" s="23" t="s">
        <v>933</v>
      </c>
      <c r="O192" s="25">
        <f t="shared" si="18"/>
        <v>45827</v>
      </c>
      <c r="P192" s="27">
        <f t="shared" si="16"/>
        <v>0</v>
      </c>
      <c r="Q192" s="27">
        <f t="shared" si="17"/>
        <v>0</v>
      </c>
      <c r="R192" s="28" t="s">
        <v>22</v>
      </c>
      <c r="S192" s="21">
        <v>261000</v>
      </c>
      <c r="T192" s="18" t="s">
        <v>23</v>
      </c>
      <c r="U192" s="14"/>
    </row>
    <row r="193" spans="1:21" x14ac:dyDescent="0.2">
      <c r="A193" s="17">
        <v>191</v>
      </c>
      <c r="B193" s="18" t="s">
        <v>934</v>
      </c>
      <c r="C193" s="19" t="s">
        <v>935</v>
      </c>
      <c r="D193" s="20" t="s">
        <v>936</v>
      </c>
      <c r="E193" s="21">
        <v>1700000</v>
      </c>
      <c r="F193" s="20" t="s">
        <v>21</v>
      </c>
      <c r="G193" s="20" t="s">
        <v>21</v>
      </c>
      <c r="H193" s="22" t="s">
        <v>345</v>
      </c>
      <c r="I193" s="23" t="s">
        <v>349</v>
      </c>
      <c r="J193" s="24" t="s">
        <v>861</v>
      </c>
      <c r="K193" s="25">
        <f t="shared" si="13"/>
        <v>45811</v>
      </c>
      <c r="L193" s="26" t="str">
        <f t="shared" si="14"/>
        <v>Jun 25</v>
      </c>
      <c r="M193" s="26" t="str">
        <f t="shared" si="15"/>
        <v>2025</v>
      </c>
      <c r="N193" s="23">
        <v>17.062024999999998</v>
      </c>
      <c r="O193" s="25">
        <f t="shared" si="18"/>
        <v>45825</v>
      </c>
      <c r="P193" s="27">
        <f t="shared" si="16"/>
        <v>0</v>
      </c>
      <c r="Q193" s="27">
        <f t="shared" si="17"/>
        <v>0</v>
      </c>
      <c r="R193" s="28" t="s">
        <v>22</v>
      </c>
      <c r="S193" s="21">
        <v>15750</v>
      </c>
      <c r="T193" s="18" t="s">
        <v>23</v>
      </c>
      <c r="U193" s="14"/>
    </row>
    <row r="194" spans="1:21" x14ac:dyDescent="0.2">
      <c r="A194" s="17">
        <v>192</v>
      </c>
      <c r="B194" s="18" t="s">
        <v>937</v>
      </c>
      <c r="C194" s="19" t="s">
        <v>938</v>
      </c>
      <c r="D194" s="20" t="s">
        <v>939</v>
      </c>
      <c r="E194" s="21">
        <v>140000</v>
      </c>
      <c r="F194" s="20" t="s">
        <v>21</v>
      </c>
      <c r="G194" s="20" t="s">
        <v>21</v>
      </c>
      <c r="H194" s="22" t="s">
        <v>140</v>
      </c>
      <c r="I194" s="23" t="s">
        <v>141</v>
      </c>
      <c r="J194" s="24" t="s">
        <v>802</v>
      </c>
      <c r="K194" s="25">
        <f t="shared" si="13"/>
        <v>45798</v>
      </c>
      <c r="L194" s="26" t="str">
        <f t="shared" si="14"/>
        <v>May 25</v>
      </c>
      <c r="M194" s="26" t="str">
        <f t="shared" si="15"/>
        <v>2025</v>
      </c>
      <c r="N194" s="23" t="s">
        <v>933</v>
      </c>
      <c r="O194" s="25">
        <f t="shared" si="18"/>
        <v>45827</v>
      </c>
      <c r="P194" s="27">
        <f t="shared" si="16"/>
        <v>0</v>
      </c>
      <c r="Q194" s="27">
        <f t="shared" si="17"/>
        <v>0</v>
      </c>
      <c r="R194" s="28" t="s">
        <v>22</v>
      </c>
      <c r="S194" s="21">
        <v>27180</v>
      </c>
      <c r="T194" s="18" t="s">
        <v>23</v>
      </c>
      <c r="U194" s="14"/>
    </row>
    <row r="195" spans="1:21" x14ac:dyDescent="0.2">
      <c r="A195" s="17">
        <v>193</v>
      </c>
      <c r="B195" s="18" t="s">
        <v>940</v>
      </c>
      <c r="C195" s="19" t="s">
        <v>941</v>
      </c>
      <c r="D195" s="20" t="s">
        <v>942</v>
      </c>
      <c r="E195" s="21">
        <v>70000</v>
      </c>
      <c r="F195" s="20" t="s">
        <v>21</v>
      </c>
      <c r="G195" s="20" t="s">
        <v>21</v>
      </c>
      <c r="H195" s="22" t="s">
        <v>188</v>
      </c>
      <c r="I195" s="23" t="s">
        <v>173</v>
      </c>
      <c r="J195" s="24" t="s">
        <v>943</v>
      </c>
      <c r="K195" s="25">
        <f t="shared" si="13"/>
        <v>45822</v>
      </c>
      <c r="L195" s="26" t="str">
        <f t="shared" si="14"/>
        <v>Jun 25</v>
      </c>
      <c r="M195" s="26" t="str">
        <f t="shared" si="15"/>
        <v>2025</v>
      </c>
      <c r="N195" s="23">
        <v>19.062024999999998</v>
      </c>
      <c r="O195" s="25">
        <f t="shared" si="18"/>
        <v>45827</v>
      </c>
      <c r="P195" s="27">
        <f t="shared" si="16"/>
        <v>0</v>
      </c>
      <c r="Q195" s="27">
        <f t="shared" si="17"/>
        <v>0</v>
      </c>
      <c r="R195" s="28" t="s">
        <v>22</v>
      </c>
      <c r="S195" s="21">
        <v>18660.599999999999</v>
      </c>
      <c r="T195" s="18" t="s">
        <v>23</v>
      </c>
      <c r="U195" s="14"/>
    </row>
    <row r="196" spans="1:21" x14ac:dyDescent="0.2">
      <c r="A196" s="17">
        <v>194</v>
      </c>
      <c r="B196" s="18" t="s">
        <v>944</v>
      </c>
      <c r="C196" s="19" t="s">
        <v>945</v>
      </c>
      <c r="D196" s="20" t="s">
        <v>946</v>
      </c>
      <c r="E196" s="21" t="s">
        <v>374</v>
      </c>
      <c r="F196" s="20" t="s">
        <v>21</v>
      </c>
      <c r="G196" s="20" t="s">
        <v>947</v>
      </c>
      <c r="H196" s="22" t="s">
        <v>177</v>
      </c>
      <c r="I196" s="23" t="s">
        <v>98</v>
      </c>
      <c r="J196" s="24" t="s">
        <v>193</v>
      </c>
      <c r="K196" s="25">
        <f t="shared" ref="K196:K259" si="19">DATE(RIGHT(J196,4),MID(J196,4,2),LEFT(J196,2))</f>
        <v>45600</v>
      </c>
      <c r="L196" s="26" t="str">
        <f t="shared" ref="L196:L259" si="20">TEXT(K196,"MMM YY")</f>
        <v>Nov 24</v>
      </c>
      <c r="M196" s="26" t="str">
        <f t="shared" ref="M196:M259" si="21">TEXT(K196,"yyyy")</f>
        <v>2024</v>
      </c>
      <c r="N196" s="23" t="s">
        <v>948</v>
      </c>
      <c r="O196" s="25">
        <f t="shared" si="18"/>
        <v>45826</v>
      </c>
      <c r="P196" s="27">
        <f t="shared" ref="P196:P259" si="22">DATEDIF(K196,O196,"M")</f>
        <v>7</v>
      </c>
      <c r="Q196" s="27">
        <f t="shared" ref="Q196:Q259" si="23">YEAR(O196)-YEAR(K196)</f>
        <v>1</v>
      </c>
      <c r="R196" s="28" t="s">
        <v>22</v>
      </c>
      <c r="S196" s="21">
        <v>16000</v>
      </c>
      <c r="T196" s="18" t="s">
        <v>23</v>
      </c>
      <c r="U196" s="14"/>
    </row>
    <row r="197" spans="1:21" x14ac:dyDescent="0.2">
      <c r="A197" s="17">
        <v>195</v>
      </c>
      <c r="B197" s="18" t="s">
        <v>949</v>
      </c>
      <c r="C197" s="19" t="s">
        <v>950</v>
      </c>
      <c r="D197" s="20" t="s">
        <v>951</v>
      </c>
      <c r="E197" s="21">
        <v>50000</v>
      </c>
      <c r="F197" s="20" t="s">
        <v>952</v>
      </c>
      <c r="G197" s="20" t="s">
        <v>21</v>
      </c>
      <c r="H197" s="22" t="s">
        <v>704</v>
      </c>
      <c r="I197" s="23" t="s">
        <v>953</v>
      </c>
      <c r="J197" s="24" t="s">
        <v>954</v>
      </c>
      <c r="K197" s="25">
        <f t="shared" si="19"/>
        <v>45816</v>
      </c>
      <c r="L197" s="26" t="str">
        <f t="shared" si="20"/>
        <v>Jun 25</v>
      </c>
      <c r="M197" s="26" t="str">
        <f t="shared" si="21"/>
        <v>2025</v>
      </c>
      <c r="N197" s="23" t="s">
        <v>955</v>
      </c>
      <c r="O197" s="25">
        <f t="shared" si="18"/>
        <v>45821</v>
      </c>
      <c r="P197" s="27">
        <f t="shared" si="22"/>
        <v>0</v>
      </c>
      <c r="Q197" s="27">
        <f t="shared" si="23"/>
        <v>0</v>
      </c>
      <c r="R197" s="28" t="s">
        <v>956</v>
      </c>
      <c r="S197" s="21">
        <v>11160</v>
      </c>
      <c r="T197" s="18" t="s">
        <v>23</v>
      </c>
      <c r="U197" s="14"/>
    </row>
    <row r="198" spans="1:21" x14ac:dyDescent="0.2">
      <c r="A198" s="17">
        <v>196</v>
      </c>
      <c r="B198" s="18" t="s">
        <v>957</v>
      </c>
      <c r="C198" s="19" t="s">
        <v>958</v>
      </c>
      <c r="D198" s="20" t="s">
        <v>959</v>
      </c>
      <c r="E198" s="21">
        <v>200000</v>
      </c>
      <c r="F198" s="20" t="s">
        <v>960</v>
      </c>
      <c r="G198" s="20" t="s">
        <v>21</v>
      </c>
      <c r="H198" s="22" t="s">
        <v>354</v>
      </c>
      <c r="I198" s="23" t="s">
        <v>961</v>
      </c>
      <c r="J198" s="24" t="s">
        <v>955</v>
      </c>
      <c r="K198" s="25">
        <f t="shared" si="19"/>
        <v>45821</v>
      </c>
      <c r="L198" s="26" t="str">
        <f t="shared" si="20"/>
        <v>Jun 25</v>
      </c>
      <c r="M198" s="26" t="str">
        <f t="shared" si="21"/>
        <v>2025</v>
      </c>
      <c r="N198" s="23" t="s">
        <v>962</v>
      </c>
      <c r="O198" s="25">
        <f t="shared" si="18"/>
        <v>45831</v>
      </c>
      <c r="P198" s="27">
        <f t="shared" si="22"/>
        <v>0</v>
      </c>
      <c r="Q198" s="27">
        <f t="shared" si="23"/>
        <v>0</v>
      </c>
      <c r="R198" s="28" t="s">
        <v>22</v>
      </c>
      <c r="S198" s="21">
        <v>180000</v>
      </c>
      <c r="T198" s="18" t="s">
        <v>23</v>
      </c>
      <c r="U198" s="14"/>
    </row>
    <row r="199" spans="1:21" x14ac:dyDescent="0.2">
      <c r="A199" s="17">
        <v>197</v>
      </c>
      <c r="B199" s="18" t="s">
        <v>902</v>
      </c>
      <c r="C199" s="19" t="s">
        <v>963</v>
      </c>
      <c r="D199" s="20" t="s">
        <v>964</v>
      </c>
      <c r="E199" s="21">
        <v>157000</v>
      </c>
      <c r="F199" s="20" t="s">
        <v>21</v>
      </c>
      <c r="G199" s="20" t="s">
        <v>965</v>
      </c>
      <c r="H199" s="22" t="s">
        <v>140</v>
      </c>
      <c r="I199" s="22" t="s">
        <v>141</v>
      </c>
      <c r="J199" s="24" t="s">
        <v>933</v>
      </c>
      <c r="K199" s="25">
        <f t="shared" si="19"/>
        <v>45827</v>
      </c>
      <c r="L199" s="26" t="str">
        <f t="shared" si="20"/>
        <v>Jun 25</v>
      </c>
      <c r="M199" s="26" t="str">
        <f t="shared" si="21"/>
        <v>2025</v>
      </c>
      <c r="N199" s="23" t="s">
        <v>943</v>
      </c>
      <c r="O199" s="25">
        <f t="shared" si="18"/>
        <v>45822</v>
      </c>
      <c r="P199" s="27" t="e">
        <f t="shared" si="22"/>
        <v>#NUM!</v>
      </c>
      <c r="Q199" s="27">
        <f t="shared" si="23"/>
        <v>0</v>
      </c>
      <c r="R199" s="28" t="s">
        <v>22</v>
      </c>
      <c r="S199" s="21">
        <v>6950</v>
      </c>
      <c r="T199" s="18" t="s">
        <v>23</v>
      </c>
      <c r="U199" s="14"/>
    </row>
    <row r="200" spans="1:21" x14ac:dyDescent="0.2">
      <c r="A200" s="17">
        <v>198</v>
      </c>
      <c r="B200" s="19" t="s">
        <v>966</v>
      </c>
      <c r="C200" s="19" t="s">
        <v>967</v>
      </c>
      <c r="D200" s="20" t="s">
        <v>968</v>
      </c>
      <c r="E200" s="21">
        <v>320000</v>
      </c>
      <c r="F200" s="20" t="s">
        <v>969</v>
      </c>
      <c r="G200" s="20" t="s">
        <v>21</v>
      </c>
      <c r="H200" s="22" t="s">
        <v>140</v>
      </c>
      <c r="I200" s="23" t="s">
        <v>141</v>
      </c>
      <c r="J200" s="24" t="s">
        <v>773</v>
      </c>
      <c r="K200" s="25">
        <f t="shared" si="19"/>
        <v>45774</v>
      </c>
      <c r="L200" s="26" t="str">
        <f t="shared" si="20"/>
        <v>Apr 25</v>
      </c>
      <c r="M200" s="26" t="str">
        <f t="shared" si="21"/>
        <v>2025</v>
      </c>
      <c r="N200" s="22" t="s">
        <v>970</v>
      </c>
      <c r="O200" s="25">
        <f t="shared" si="18"/>
        <v>45835</v>
      </c>
      <c r="P200" s="27">
        <f t="shared" si="22"/>
        <v>2</v>
      </c>
      <c r="Q200" s="27">
        <f t="shared" si="23"/>
        <v>0</v>
      </c>
      <c r="R200" s="58" t="s">
        <v>22</v>
      </c>
      <c r="S200" s="21">
        <v>187226.68</v>
      </c>
      <c r="T200" s="18" t="s">
        <v>23</v>
      </c>
      <c r="U200" s="14"/>
    </row>
    <row r="201" spans="1:21" x14ac:dyDescent="0.2">
      <c r="A201" s="17">
        <v>199</v>
      </c>
      <c r="B201" s="18" t="s">
        <v>971</v>
      </c>
      <c r="C201" s="19" t="s">
        <v>972</v>
      </c>
      <c r="D201" s="20" t="s">
        <v>973</v>
      </c>
      <c r="E201" s="21">
        <v>130000</v>
      </c>
      <c r="F201" s="20" t="s">
        <v>21</v>
      </c>
      <c r="G201" s="20" t="s">
        <v>21</v>
      </c>
      <c r="H201" s="22" t="s">
        <v>140</v>
      </c>
      <c r="I201" s="23" t="s">
        <v>141</v>
      </c>
      <c r="J201" s="24" t="s">
        <v>106</v>
      </c>
      <c r="K201" s="25">
        <f t="shared" si="19"/>
        <v>45786</v>
      </c>
      <c r="L201" s="26" t="str">
        <f t="shared" si="20"/>
        <v>May 25</v>
      </c>
      <c r="M201" s="26" t="str">
        <f t="shared" si="21"/>
        <v>2025</v>
      </c>
      <c r="N201" s="23" t="s">
        <v>970</v>
      </c>
      <c r="O201" s="25">
        <f t="shared" si="18"/>
        <v>45835</v>
      </c>
      <c r="P201" s="27">
        <f t="shared" si="22"/>
        <v>1</v>
      </c>
      <c r="Q201" s="27">
        <f t="shared" si="23"/>
        <v>0</v>
      </c>
      <c r="R201" s="28" t="s">
        <v>22</v>
      </c>
      <c r="S201" s="21">
        <v>11304</v>
      </c>
      <c r="T201" s="18" t="s">
        <v>23</v>
      </c>
      <c r="U201" s="14"/>
    </row>
    <row r="202" spans="1:21" x14ac:dyDescent="0.2">
      <c r="A202" s="17">
        <v>200</v>
      </c>
      <c r="B202" s="18" t="s">
        <v>974</v>
      </c>
      <c r="C202" s="19" t="s">
        <v>975</v>
      </c>
      <c r="D202" s="20" t="s">
        <v>976</v>
      </c>
      <c r="E202" s="21">
        <v>300000</v>
      </c>
      <c r="F202" s="20" t="s">
        <v>21</v>
      </c>
      <c r="G202" s="20" t="s">
        <v>21</v>
      </c>
      <c r="H202" s="22" t="s">
        <v>212</v>
      </c>
      <c r="I202" s="23" t="s">
        <v>977</v>
      </c>
      <c r="J202" s="24" t="s">
        <v>948</v>
      </c>
      <c r="K202" s="25">
        <f t="shared" si="19"/>
        <v>45826</v>
      </c>
      <c r="L202" s="26" t="str">
        <f t="shared" si="20"/>
        <v>Jun 25</v>
      </c>
      <c r="M202" s="26" t="str">
        <f t="shared" si="21"/>
        <v>2025</v>
      </c>
      <c r="N202" s="23" t="s">
        <v>970</v>
      </c>
      <c r="O202" s="25">
        <f t="shared" si="18"/>
        <v>45835</v>
      </c>
      <c r="P202" s="27">
        <f t="shared" si="22"/>
        <v>0</v>
      </c>
      <c r="Q202" s="27">
        <f t="shared" si="23"/>
        <v>0</v>
      </c>
      <c r="R202" s="28" t="s">
        <v>22</v>
      </c>
      <c r="S202" s="21">
        <v>27000</v>
      </c>
      <c r="T202" s="18" t="s">
        <v>23</v>
      </c>
      <c r="U202" s="14"/>
    </row>
    <row r="203" spans="1:21" x14ac:dyDescent="0.2">
      <c r="A203" s="17">
        <v>201</v>
      </c>
      <c r="B203" s="18" t="s">
        <v>978</v>
      </c>
      <c r="C203" s="19" t="s">
        <v>979</v>
      </c>
      <c r="D203" s="20" t="s">
        <v>980</v>
      </c>
      <c r="E203" s="21">
        <v>60000</v>
      </c>
      <c r="F203" s="20" t="s">
        <v>21</v>
      </c>
      <c r="G203" s="20" t="s">
        <v>21</v>
      </c>
      <c r="H203" s="22" t="s">
        <v>253</v>
      </c>
      <c r="I203" s="23" t="s">
        <v>981</v>
      </c>
      <c r="J203" s="24" t="s">
        <v>930</v>
      </c>
      <c r="K203" s="25">
        <f t="shared" si="19"/>
        <v>45823</v>
      </c>
      <c r="L203" s="26" t="str">
        <f t="shared" si="20"/>
        <v>Jun 25</v>
      </c>
      <c r="M203" s="26" t="str">
        <f t="shared" si="21"/>
        <v>2025</v>
      </c>
      <c r="N203" s="23" t="s">
        <v>970</v>
      </c>
      <c r="O203" s="25">
        <f t="shared" si="18"/>
        <v>45835</v>
      </c>
      <c r="P203" s="27">
        <f t="shared" si="22"/>
        <v>0</v>
      </c>
      <c r="Q203" s="27">
        <f t="shared" si="23"/>
        <v>0</v>
      </c>
      <c r="R203" s="28" t="s">
        <v>22</v>
      </c>
      <c r="S203" s="21">
        <v>5400</v>
      </c>
      <c r="T203" s="18" t="s">
        <v>23</v>
      </c>
      <c r="U203" s="14"/>
    </row>
    <row r="204" spans="1:21" x14ac:dyDescent="0.2">
      <c r="A204" s="17">
        <v>202</v>
      </c>
      <c r="B204" s="18" t="s">
        <v>982</v>
      </c>
      <c r="C204" s="19" t="s">
        <v>983</v>
      </c>
      <c r="D204" s="20" t="s">
        <v>984</v>
      </c>
      <c r="E204" s="21">
        <v>50000</v>
      </c>
      <c r="F204" s="20" t="s">
        <v>21</v>
      </c>
      <c r="G204" s="20" t="s">
        <v>21</v>
      </c>
      <c r="H204" s="22" t="s">
        <v>186</v>
      </c>
      <c r="I204" s="23" t="s">
        <v>34</v>
      </c>
      <c r="J204" s="24" t="s">
        <v>955</v>
      </c>
      <c r="K204" s="25">
        <f t="shared" si="19"/>
        <v>45821</v>
      </c>
      <c r="L204" s="26" t="str">
        <f t="shared" si="20"/>
        <v>Jun 25</v>
      </c>
      <c r="M204" s="26" t="str">
        <f t="shared" si="21"/>
        <v>2025</v>
      </c>
      <c r="N204" s="23" t="s">
        <v>970</v>
      </c>
      <c r="O204" s="25">
        <f t="shared" si="18"/>
        <v>45835</v>
      </c>
      <c r="P204" s="27">
        <f t="shared" si="22"/>
        <v>0</v>
      </c>
      <c r="Q204" s="27">
        <f t="shared" si="23"/>
        <v>0</v>
      </c>
      <c r="R204" s="28" t="s">
        <v>22</v>
      </c>
      <c r="S204" s="21">
        <v>20439</v>
      </c>
      <c r="T204" s="18" t="s">
        <v>23</v>
      </c>
      <c r="U204" s="14"/>
    </row>
    <row r="205" spans="1:21" x14ac:dyDescent="0.2">
      <c r="A205" s="17">
        <v>203</v>
      </c>
      <c r="B205" s="18" t="s">
        <v>985</v>
      </c>
      <c r="C205" s="19" t="s">
        <v>986</v>
      </c>
      <c r="D205" s="20" t="s">
        <v>987</v>
      </c>
      <c r="E205" s="21">
        <v>80000</v>
      </c>
      <c r="F205" s="20" t="s">
        <v>21</v>
      </c>
      <c r="G205" s="20" t="s">
        <v>21</v>
      </c>
      <c r="H205" s="22" t="s">
        <v>988</v>
      </c>
      <c r="I205" s="23" t="s">
        <v>34</v>
      </c>
      <c r="J205" s="24" t="s">
        <v>989</v>
      </c>
      <c r="K205" s="25">
        <f t="shared" si="19"/>
        <v>45829</v>
      </c>
      <c r="L205" s="26" t="str">
        <f t="shared" si="20"/>
        <v>Jun 25</v>
      </c>
      <c r="M205" s="26" t="str">
        <f t="shared" si="21"/>
        <v>2025</v>
      </c>
      <c r="N205" s="23" t="s">
        <v>970</v>
      </c>
      <c r="O205" s="25">
        <f t="shared" si="18"/>
        <v>45835</v>
      </c>
      <c r="P205" s="27">
        <f t="shared" si="22"/>
        <v>0</v>
      </c>
      <c r="Q205" s="27">
        <f t="shared" si="23"/>
        <v>0</v>
      </c>
      <c r="R205" s="28" t="s">
        <v>22</v>
      </c>
      <c r="S205" s="21">
        <v>3150</v>
      </c>
      <c r="T205" s="18" t="s">
        <v>23</v>
      </c>
      <c r="U205" s="14"/>
    </row>
    <row r="206" spans="1:21" x14ac:dyDescent="0.2">
      <c r="A206" s="17">
        <v>204</v>
      </c>
      <c r="B206" s="18" t="s">
        <v>990</v>
      </c>
      <c r="C206" s="19" t="s">
        <v>991</v>
      </c>
      <c r="D206" s="20" t="s">
        <v>992</v>
      </c>
      <c r="E206" s="21">
        <v>68000</v>
      </c>
      <c r="F206" s="20" t="s">
        <v>21</v>
      </c>
      <c r="G206" s="20" t="s">
        <v>21</v>
      </c>
      <c r="H206" s="22" t="s">
        <v>186</v>
      </c>
      <c r="I206" s="23" t="s">
        <v>34</v>
      </c>
      <c r="J206" s="24" t="s">
        <v>943</v>
      </c>
      <c r="K206" s="25">
        <f t="shared" si="19"/>
        <v>45822</v>
      </c>
      <c r="L206" s="26" t="str">
        <f t="shared" si="20"/>
        <v>Jun 25</v>
      </c>
      <c r="M206" s="26" t="str">
        <f t="shared" si="21"/>
        <v>2025</v>
      </c>
      <c r="N206" s="23" t="s">
        <v>464</v>
      </c>
      <c r="O206" s="25">
        <f t="shared" si="18"/>
        <v>45841</v>
      </c>
      <c r="P206" s="27">
        <f t="shared" si="22"/>
        <v>0</v>
      </c>
      <c r="Q206" s="27">
        <f t="shared" si="23"/>
        <v>0</v>
      </c>
      <c r="R206" s="28" t="s">
        <v>22</v>
      </c>
      <c r="S206" s="21">
        <v>57000</v>
      </c>
      <c r="T206" s="18" t="s">
        <v>23</v>
      </c>
      <c r="U206" s="14"/>
    </row>
    <row r="207" spans="1:21" x14ac:dyDescent="0.2">
      <c r="A207" s="17">
        <v>205</v>
      </c>
      <c r="B207" s="18" t="s">
        <v>993</v>
      </c>
      <c r="C207" s="19" t="s">
        <v>994</v>
      </c>
      <c r="D207" s="20" t="s">
        <v>995</v>
      </c>
      <c r="E207" s="21">
        <v>90000</v>
      </c>
      <c r="F207" s="20" t="s">
        <v>21</v>
      </c>
      <c r="G207" s="20" t="s">
        <v>21</v>
      </c>
      <c r="H207" s="22" t="s">
        <v>140</v>
      </c>
      <c r="I207" s="23" t="s">
        <v>996</v>
      </c>
      <c r="J207" s="24" t="s">
        <v>997</v>
      </c>
      <c r="K207" s="25">
        <f t="shared" si="19"/>
        <v>45836</v>
      </c>
      <c r="L207" s="26" t="str">
        <f t="shared" si="20"/>
        <v>Jun 25</v>
      </c>
      <c r="M207" s="26" t="str">
        <f t="shared" si="21"/>
        <v>2025</v>
      </c>
      <c r="N207" s="23" t="s">
        <v>464</v>
      </c>
      <c r="O207" s="25">
        <f t="shared" si="18"/>
        <v>45841</v>
      </c>
      <c r="P207" s="27">
        <f t="shared" si="22"/>
        <v>0</v>
      </c>
      <c r="Q207" s="27">
        <f t="shared" si="23"/>
        <v>0</v>
      </c>
      <c r="R207" s="28" t="s">
        <v>22</v>
      </c>
      <c r="S207" s="21">
        <v>81000</v>
      </c>
      <c r="T207" s="18" t="s">
        <v>23</v>
      </c>
      <c r="U207" s="14"/>
    </row>
    <row r="208" spans="1:21" x14ac:dyDescent="0.2">
      <c r="A208" s="17">
        <v>206</v>
      </c>
      <c r="B208" s="18" t="s">
        <v>998</v>
      </c>
      <c r="C208" s="19" t="s">
        <v>999</v>
      </c>
      <c r="D208" s="20" t="s">
        <v>1000</v>
      </c>
      <c r="E208" s="21">
        <v>40000</v>
      </c>
      <c r="F208" s="20" t="s">
        <v>21</v>
      </c>
      <c r="G208" s="20" t="s">
        <v>21</v>
      </c>
      <c r="H208" s="22" t="s">
        <v>27</v>
      </c>
      <c r="I208" s="23" t="s">
        <v>34</v>
      </c>
      <c r="J208" s="24" t="s">
        <v>1001</v>
      </c>
      <c r="K208" s="25">
        <f t="shared" si="19"/>
        <v>45837</v>
      </c>
      <c r="L208" s="26" t="str">
        <f t="shared" si="20"/>
        <v>Jun 25</v>
      </c>
      <c r="M208" s="26" t="str">
        <f t="shared" si="21"/>
        <v>2025</v>
      </c>
      <c r="N208" s="23" t="s">
        <v>464</v>
      </c>
      <c r="O208" s="25">
        <f t="shared" si="18"/>
        <v>45841</v>
      </c>
      <c r="P208" s="27">
        <f t="shared" si="22"/>
        <v>0</v>
      </c>
      <c r="Q208" s="27">
        <f t="shared" si="23"/>
        <v>0</v>
      </c>
      <c r="R208" s="28" t="s">
        <v>22</v>
      </c>
      <c r="S208" s="21">
        <v>3132</v>
      </c>
      <c r="T208" s="18" t="s">
        <v>23</v>
      </c>
      <c r="U208" s="14"/>
    </row>
    <row r="209" spans="1:21" x14ac:dyDescent="0.2">
      <c r="A209" s="17">
        <v>207</v>
      </c>
      <c r="B209" s="18" t="s">
        <v>1002</v>
      </c>
      <c r="C209" s="19" t="s">
        <v>1003</v>
      </c>
      <c r="D209" s="20" t="s">
        <v>1004</v>
      </c>
      <c r="E209" s="21">
        <v>800000</v>
      </c>
      <c r="F209" s="20" t="s">
        <v>21</v>
      </c>
      <c r="G209" s="20" t="s">
        <v>21</v>
      </c>
      <c r="H209" s="22" t="s">
        <v>1005</v>
      </c>
      <c r="I209" s="23" t="s">
        <v>281</v>
      </c>
      <c r="J209" s="24" t="s">
        <v>97</v>
      </c>
      <c r="K209" s="25">
        <f t="shared" si="19"/>
        <v>45796</v>
      </c>
      <c r="L209" s="26" t="str">
        <f t="shared" si="20"/>
        <v>May 25</v>
      </c>
      <c r="M209" s="26" t="str">
        <f t="shared" si="21"/>
        <v>2025</v>
      </c>
      <c r="N209" s="23" t="s">
        <v>1006</v>
      </c>
      <c r="O209" s="25">
        <f t="shared" si="18"/>
        <v>45849</v>
      </c>
      <c r="P209" s="27">
        <f t="shared" si="22"/>
        <v>1</v>
      </c>
      <c r="Q209" s="27">
        <f t="shared" si="23"/>
        <v>0</v>
      </c>
      <c r="R209" s="28" t="s">
        <v>22</v>
      </c>
      <c r="S209" s="21">
        <v>1850</v>
      </c>
      <c r="T209" s="18" t="s">
        <v>23</v>
      </c>
      <c r="U209" s="14"/>
    </row>
    <row r="210" spans="1:21" x14ac:dyDescent="0.2">
      <c r="A210" s="17">
        <v>208</v>
      </c>
      <c r="B210" s="18" t="s">
        <v>1007</v>
      </c>
      <c r="C210" s="19" t="s">
        <v>1008</v>
      </c>
      <c r="D210" s="20" t="s">
        <v>1009</v>
      </c>
      <c r="E210" s="21">
        <v>50000</v>
      </c>
      <c r="F210" s="20" t="s">
        <v>21</v>
      </c>
      <c r="G210" s="20" t="s">
        <v>21</v>
      </c>
      <c r="H210" s="22" t="s">
        <v>1010</v>
      </c>
      <c r="I210" s="23" t="s">
        <v>1011</v>
      </c>
      <c r="J210" s="24" t="s">
        <v>1012</v>
      </c>
      <c r="K210" s="25">
        <f t="shared" si="19"/>
        <v>45787</v>
      </c>
      <c r="L210" s="26" t="str">
        <f t="shared" si="20"/>
        <v>May 25</v>
      </c>
      <c r="M210" s="26" t="str">
        <f t="shared" si="21"/>
        <v>2025</v>
      </c>
      <c r="N210" s="23" t="s">
        <v>1013</v>
      </c>
      <c r="O210" s="25">
        <f t="shared" si="18"/>
        <v>45842</v>
      </c>
      <c r="P210" s="27">
        <f t="shared" si="22"/>
        <v>1</v>
      </c>
      <c r="Q210" s="27">
        <f t="shared" si="23"/>
        <v>0</v>
      </c>
      <c r="R210" s="28" t="s">
        <v>22</v>
      </c>
      <c r="S210" s="21">
        <v>3150</v>
      </c>
      <c r="T210" s="18" t="s">
        <v>23</v>
      </c>
      <c r="U210" s="14"/>
    </row>
    <row r="211" spans="1:21" x14ac:dyDescent="0.2">
      <c r="A211" s="17">
        <v>209</v>
      </c>
      <c r="B211" s="18" t="s">
        <v>1002</v>
      </c>
      <c r="C211" s="19" t="s">
        <v>1014</v>
      </c>
      <c r="D211" s="20" t="s">
        <v>1015</v>
      </c>
      <c r="E211" s="21">
        <v>80000</v>
      </c>
      <c r="F211" s="20" t="s">
        <v>1016</v>
      </c>
      <c r="G211" s="20" t="s">
        <v>21</v>
      </c>
      <c r="H211" s="22" t="s">
        <v>1005</v>
      </c>
      <c r="I211" s="23" t="s">
        <v>281</v>
      </c>
      <c r="J211" s="24" t="s">
        <v>997</v>
      </c>
      <c r="K211" s="25">
        <f t="shared" si="19"/>
        <v>45836</v>
      </c>
      <c r="L211" s="26" t="str">
        <f t="shared" si="20"/>
        <v>Jun 25</v>
      </c>
      <c r="M211" s="26" t="str">
        <f t="shared" si="21"/>
        <v>2025</v>
      </c>
      <c r="N211" s="23" t="s">
        <v>1017</v>
      </c>
      <c r="O211" s="25">
        <f t="shared" ref="O211:O274" si="24">DATE(RIGHT(N211,4),MID(N211,4,2),LEFT(N211,2))</f>
        <v>45901</v>
      </c>
      <c r="P211" s="27">
        <f t="shared" si="22"/>
        <v>2</v>
      </c>
      <c r="Q211" s="27">
        <f t="shared" si="23"/>
        <v>0</v>
      </c>
      <c r="R211" s="28" t="s">
        <v>22</v>
      </c>
      <c r="S211" s="21">
        <v>27000</v>
      </c>
      <c r="T211" s="18" t="s">
        <v>23</v>
      </c>
      <c r="U211" s="14"/>
    </row>
    <row r="212" spans="1:21" x14ac:dyDescent="0.2">
      <c r="A212" s="17">
        <v>210</v>
      </c>
      <c r="B212" s="18" t="s">
        <v>1018</v>
      </c>
      <c r="C212" s="19" t="s">
        <v>1019</v>
      </c>
      <c r="D212" s="20" t="s">
        <v>1020</v>
      </c>
      <c r="E212" s="21">
        <v>100000</v>
      </c>
      <c r="F212" s="20" t="s">
        <v>21</v>
      </c>
      <c r="G212" s="20" t="s">
        <v>21</v>
      </c>
      <c r="H212" s="22" t="s">
        <v>1021</v>
      </c>
      <c r="I212" s="23" t="s">
        <v>1022</v>
      </c>
      <c r="J212" s="24" t="s">
        <v>34</v>
      </c>
      <c r="K212" s="25">
        <f t="shared" si="19"/>
        <v>45838</v>
      </c>
      <c r="L212" s="26" t="str">
        <f t="shared" si="20"/>
        <v>Jun 25</v>
      </c>
      <c r="M212" s="26" t="str">
        <f t="shared" si="21"/>
        <v>2025</v>
      </c>
      <c r="N212" s="23" t="s">
        <v>1023</v>
      </c>
      <c r="O212" s="25">
        <f t="shared" si="24"/>
        <v>45855</v>
      </c>
      <c r="P212" s="27">
        <f t="shared" si="22"/>
        <v>0</v>
      </c>
      <c r="Q212" s="27">
        <f t="shared" si="23"/>
        <v>0</v>
      </c>
      <c r="R212" s="28" t="s">
        <v>22</v>
      </c>
      <c r="S212" s="21">
        <v>4500</v>
      </c>
      <c r="T212" s="18" t="s">
        <v>23</v>
      </c>
      <c r="U212" s="14"/>
    </row>
    <row r="213" spans="1:21" x14ac:dyDescent="0.2">
      <c r="A213" s="17">
        <v>211</v>
      </c>
      <c r="B213" s="18" t="s">
        <v>1024</v>
      </c>
      <c r="C213" s="19" t="s">
        <v>1025</v>
      </c>
      <c r="D213" s="20" t="s">
        <v>1026</v>
      </c>
      <c r="E213" s="21">
        <v>50000</v>
      </c>
      <c r="F213" s="20" t="s">
        <v>21</v>
      </c>
      <c r="G213" s="20" t="s">
        <v>21</v>
      </c>
      <c r="H213" s="22" t="s">
        <v>229</v>
      </c>
      <c r="I213" s="23" t="s">
        <v>141</v>
      </c>
      <c r="J213" s="24" t="s">
        <v>636</v>
      </c>
      <c r="K213" s="25">
        <f t="shared" si="19"/>
        <v>45753</v>
      </c>
      <c r="L213" s="26" t="str">
        <f t="shared" si="20"/>
        <v>Apr 25</v>
      </c>
      <c r="M213" s="26" t="str">
        <f t="shared" si="21"/>
        <v>2025</v>
      </c>
      <c r="N213" s="23" t="s">
        <v>576</v>
      </c>
      <c r="O213" s="25">
        <f t="shared" si="24"/>
        <v>45769</v>
      </c>
      <c r="P213" s="27">
        <f t="shared" si="22"/>
        <v>0</v>
      </c>
      <c r="Q213" s="27">
        <f t="shared" si="23"/>
        <v>0</v>
      </c>
      <c r="R213" s="28" t="s">
        <v>22</v>
      </c>
      <c r="S213" s="21">
        <v>13940</v>
      </c>
      <c r="T213" s="18" t="s">
        <v>23</v>
      </c>
      <c r="U213" s="14"/>
    </row>
    <row r="214" spans="1:21" x14ac:dyDescent="0.2">
      <c r="A214" s="17">
        <v>212</v>
      </c>
      <c r="B214" s="18" t="s">
        <v>1027</v>
      </c>
      <c r="C214" s="19" t="s">
        <v>1028</v>
      </c>
      <c r="D214" s="20" t="s">
        <v>1029</v>
      </c>
      <c r="E214" s="21">
        <v>150000</v>
      </c>
      <c r="F214" s="20" t="s">
        <v>21</v>
      </c>
      <c r="G214" s="20" t="s">
        <v>21</v>
      </c>
      <c r="H214" s="22" t="s">
        <v>1030</v>
      </c>
      <c r="I214" s="23" t="s">
        <v>1031</v>
      </c>
      <c r="J214" s="24" t="s">
        <v>997</v>
      </c>
      <c r="K214" s="25">
        <f t="shared" si="19"/>
        <v>45836</v>
      </c>
      <c r="L214" s="26" t="str">
        <f t="shared" si="20"/>
        <v>Jun 25</v>
      </c>
      <c r="M214" s="26" t="str">
        <f t="shared" si="21"/>
        <v>2025</v>
      </c>
      <c r="N214" s="23" t="s">
        <v>1032</v>
      </c>
      <c r="O214" s="25">
        <f t="shared" si="24"/>
        <v>45852</v>
      </c>
      <c r="P214" s="27">
        <f t="shared" si="22"/>
        <v>0</v>
      </c>
      <c r="Q214" s="27">
        <f t="shared" si="23"/>
        <v>0</v>
      </c>
      <c r="R214" s="28" t="s">
        <v>22</v>
      </c>
      <c r="S214" s="21">
        <v>3500</v>
      </c>
      <c r="T214" s="18" t="s">
        <v>23</v>
      </c>
      <c r="U214" s="14"/>
    </row>
    <row r="215" spans="1:21" x14ac:dyDescent="0.2">
      <c r="A215" s="17">
        <v>213</v>
      </c>
      <c r="B215" s="18" t="s">
        <v>1033</v>
      </c>
      <c r="C215" s="19" t="s">
        <v>1034</v>
      </c>
      <c r="D215" s="20" t="s">
        <v>1035</v>
      </c>
      <c r="E215" s="21">
        <v>70000</v>
      </c>
      <c r="F215" s="20" t="s">
        <v>21</v>
      </c>
      <c r="G215" s="20" t="s">
        <v>21</v>
      </c>
      <c r="H215" s="22" t="s">
        <v>27</v>
      </c>
      <c r="I215" s="23" t="s">
        <v>34</v>
      </c>
      <c r="J215" s="24" t="s">
        <v>809</v>
      </c>
      <c r="K215" s="25">
        <f t="shared" si="19"/>
        <v>45819</v>
      </c>
      <c r="L215" s="26" t="str">
        <f t="shared" si="20"/>
        <v>Jun 25</v>
      </c>
      <c r="M215" s="26" t="str">
        <f t="shared" si="21"/>
        <v>2025</v>
      </c>
      <c r="N215" s="23" t="s">
        <v>1032</v>
      </c>
      <c r="O215" s="25">
        <f t="shared" si="24"/>
        <v>45852</v>
      </c>
      <c r="P215" s="27">
        <f t="shared" si="22"/>
        <v>1</v>
      </c>
      <c r="Q215" s="27">
        <f t="shared" si="23"/>
        <v>0</v>
      </c>
      <c r="R215" s="28" t="s">
        <v>22</v>
      </c>
      <c r="S215" s="21">
        <v>23871.06</v>
      </c>
      <c r="T215" s="18" t="s">
        <v>23</v>
      </c>
      <c r="U215" s="14"/>
    </row>
    <row r="216" spans="1:21" x14ac:dyDescent="0.2">
      <c r="A216" s="17">
        <v>214</v>
      </c>
      <c r="B216" s="18" t="s">
        <v>1036</v>
      </c>
      <c r="C216" s="19" t="s">
        <v>1037</v>
      </c>
      <c r="D216" s="20" t="s">
        <v>1038</v>
      </c>
      <c r="E216" s="21">
        <v>150000</v>
      </c>
      <c r="F216" s="20" t="s">
        <v>21</v>
      </c>
      <c r="G216" s="20" t="s">
        <v>21</v>
      </c>
      <c r="H216" s="22" t="s">
        <v>480</v>
      </c>
      <c r="I216" s="23" t="s">
        <v>501</v>
      </c>
      <c r="J216" s="24" t="s">
        <v>733</v>
      </c>
      <c r="K216" s="25">
        <f t="shared" si="19"/>
        <v>45802</v>
      </c>
      <c r="L216" s="26" t="str">
        <f t="shared" si="20"/>
        <v>May 25</v>
      </c>
      <c r="M216" s="26" t="str">
        <f t="shared" si="21"/>
        <v>2025</v>
      </c>
      <c r="N216" s="23" t="s">
        <v>1039</v>
      </c>
      <c r="O216" s="25">
        <f t="shared" si="24"/>
        <v>45832</v>
      </c>
      <c r="P216" s="27">
        <f t="shared" si="22"/>
        <v>0</v>
      </c>
      <c r="Q216" s="27">
        <f t="shared" si="23"/>
        <v>0</v>
      </c>
      <c r="R216" s="28" t="s">
        <v>22</v>
      </c>
      <c r="S216" s="21">
        <v>121500</v>
      </c>
      <c r="T216" s="18" t="s">
        <v>23</v>
      </c>
      <c r="U216" s="14"/>
    </row>
    <row r="217" spans="1:21" x14ac:dyDescent="0.2">
      <c r="A217" s="17">
        <v>215</v>
      </c>
      <c r="B217" s="18" t="s">
        <v>810</v>
      </c>
      <c r="C217" s="19" t="s">
        <v>1040</v>
      </c>
      <c r="D217" s="20" t="s">
        <v>1041</v>
      </c>
      <c r="E217" s="21">
        <v>160000</v>
      </c>
      <c r="F217" s="20" t="s">
        <v>21</v>
      </c>
      <c r="G217" s="20" t="s">
        <v>21</v>
      </c>
      <c r="H217" s="22" t="s">
        <v>140</v>
      </c>
      <c r="I217" s="23" t="s">
        <v>141</v>
      </c>
      <c r="J217" s="24" t="s">
        <v>1032</v>
      </c>
      <c r="K217" s="25">
        <f t="shared" si="19"/>
        <v>45852</v>
      </c>
      <c r="L217" s="26" t="str">
        <f t="shared" si="20"/>
        <v>Jul 25</v>
      </c>
      <c r="M217" s="26" t="str">
        <f t="shared" si="21"/>
        <v>2025</v>
      </c>
      <c r="N217" s="23" t="s">
        <v>1032</v>
      </c>
      <c r="O217" s="25">
        <f t="shared" si="24"/>
        <v>45852</v>
      </c>
      <c r="P217" s="27">
        <f t="shared" si="22"/>
        <v>0</v>
      </c>
      <c r="Q217" s="27">
        <f t="shared" si="23"/>
        <v>0</v>
      </c>
      <c r="R217" s="28" t="s">
        <v>22</v>
      </c>
      <c r="S217" s="21">
        <v>30096</v>
      </c>
      <c r="T217" s="18" t="s">
        <v>23</v>
      </c>
      <c r="U217" s="14"/>
    </row>
    <row r="218" spans="1:21" x14ac:dyDescent="0.2">
      <c r="A218" s="17">
        <v>216</v>
      </c>
      <c r="B218" s="18" t="s">
        <v>1042</v>
      </c>
      <c r="C218" s="59" t="s">
        <v>1043</v>
      </c>
      <c r="D218" s="60" t="s">
        <v>1044</v>
      </c>
      <c r="E218" s="61">
        <v>150000</v>
      </c>
      <c r="F218" s="60" t="s">
        <v>21</v>
      </c>
      <c r="G218" s="60" t="s">
        <v>21</v>
      </c>
      <c r="H218" s="62" t="s">
        <v>135</v>
      </c>
      <c r="I218" s="63" t="s">
        <v>635</v>
      </c>
      <c r="J218" s="24" t="s">
        <v>1045</v>
      </c>
      <c r="K218" s="25">
        <f t="shared" si="19"/>
        <v>45851</v>
      </c>
      <c r="L218" s="26" t="str">
        <f t="shared" si="20"/>
        <v>Jul 25</v>
      </c>
      <c r="M218" s="26" t="str">
        <f t="shared" si="21"/>
        <v>2025</v>
      </c>
      <c r="N218" s="23" t="s">
        <v>1046</v>
      </c>
      <c r="O218" s="25">
        <f t="shared" si="24"/>
        <v>45857</v>
      </c>
      <c r="P218" s="27">
        <f t="shared" si="22"/>
        <v>0</v>
      </c>
      <c r="Q218" s="27">
        <f t="shared" si="23"/>
        <v>0</v>
      </c>
      <c r="R218" s="28" t="s">
        <v>22</v>
      </c>
      <c r="S218" s="21">
        <v>3096</v>
      </c>
      <c r="T218" s="18" t="s">
        <v>23</v>
      </c>
      <c r="U218" s="14"/>
    </row>
    <row r="219" spans="1:21" x14ac:dyDescent="0.2">
      <c r="A219" s="17">
        <v>217</v>
      </c>
      <c r="B219" s="64" t="s">
        <v>336</v>
      </c>
      <c r="C219" s="59" t="s">
        <v>337</v>
      </c>
      <c r="D219" s="60" t="s">
        <v>1047</v>
      </c>
      <c r="E219" s="61">
        <v>100000</v>
      </c>
      <c r="F219" s="60" t="s">
        <v>21</v>
      </c>
      <c r="G219" s="60" t="s">
        <v>21</v>
      </c>
      <c r="H219" s="62" t="s">
        <v>339</v>
      </c>
      <c r="I219" s="63" t="s">
        <v>340</v>
      </c>
      <c r="J219" s="65" t="s">
        <v>746</v>
      </c>
      <c r="K219" s="25">
        <f t="shared" si="19"/>
        <v>45785</v>
      </c>
      <c r="L219" s="26" t="str">
        <f t="shared" si="20"/>
        <v>May 25</v>
      </c>
      <c r="M219" s="26" t="str">
        <f t="shared" si="21"/>
        <v>2025</v>
      </c>
      <c r="N219" s="63" t="s">
        <v>1011</v>
      </c>
      <c r="O219" s="25">
        <f t="shared" si="24"/>
        <v>45840</v>
      </c>
      <c r="P219" s="27">
        <f t="shared" si="22"/>
        <v>1</v>
      </c>
      <c r="Q219" s="27">
        <f t="shared" si="23"/>
        <v>0</v>
      </c>
      <c r="R219" s="66" t="s">
        <v>22</v>
      </c>
      <c r="S219" s="61">
        <v>24660.27</v>
      </c>
      <c r="T219" s="18" t="s">
        <v>23</v>
      </c>
      <c r="U219" s="14"/>
    </row>
    <row r="220" spans="1:21" x14ac:dyDescent="0.2">
      <c r="A220" s="17">
        <v>218</v>
      </c>
      <c r="B220" s="64" t="s">
        <v>1048</v>
      </c>
      <c r="C220" s="59" t="s">
        <v>1049</v>
      </c>
      <c r="D220" s="60" t="s">
        <v>1050</v>
      </c>
      <c r="E220" s="61">
        <v>140000</v>
      </c>
      <c r="F220" s="60" t="s">
        <v>1051</v>
      </c>
      <c r="G220" s="60" t="s">
        <v>21</v>
      </c>
      <c r="H220" s="62" t="s">
        <v>369</v>
      </c>
      <c r="I220" s="63" t="s">
        <v>620</v>
      </c>
      <c r="J220" s="65" t="s">
        <v>962</v>
      </c>
      <c r="K220" s="25">
        <f t="shared" si="19"/>
        <v>45831</v>
      </c>
      <c r="L220" s="26" t="str">
        <f t="shared" si="20"/>
        <v>Jun 25</v>
      </c>
      <c r="M220" s="26" t="str">
        <f t="shared" si="21"/>
        <v>2025</v>
      </c>
      <c r="N220" s="63" t="s">
        <v>1032</v>
      </c>
      <c r="O220" s="25">
        <f t="shared" si="24"/>
        <v>45852</v>
      </c>
      <c r="P220" s="27">
        <f t="shared" si="22"/>
        <v>0</v>
      </c>
      <c r="Q220" s="27">
        <f t="shared" si="23"/>
        <v>0</v>
      </c>
      <c r="R220" s="66" t="s">
        <v>956</v>
      </c>
      <c r="S220" s="61">
        <v>16657</v>
      </c>
      <c r="T220" s="18" t="s">
        <v>23</v>
      </c>
      <c r="U220" s="14"/>
    </row>
    <row r="221" spans="1:21" x14ac:dyDescent="0.2">
      <c r="A221" s="17">
        <v>219</v>
      </c>
      <c r="B221" s="64" t="s">
        <v>1052</v>
      </c>
      <c r="C221" s="19" t="s">
        <v>1053</v>
      </c>
      <c r="D221" s="20" t="s">
        <v>1054</v>
      </c>
      <c r="E221" s="21">
        <v>45828</v>
      </c>
      <c r="F221" s="20" t="s">
        <v>1055</v>
      </c>
      <c r="G221" s="20" t="s">
        <v>21</v>
      </c>
      <c r="H221" s="22">
        <v>45510</v>
      </c>
      <c r="I221" s="23">
        <v>45874</v>
      </c>
      <c r="J221" s="65">
        <v>45828</v>
      </c>
      <c r="K221" s="25">
        <f t="shared" si="19"/>
        <v>1435539</v>
      </c>
      <c r="L221" s="26" t="str">
        <f t="shared" si="20"/>
        <v>May 30</v>
      </c>
      <c r="M221" s="26" t="str">
        <f t="shared" si="21"/>
        <v>5830</v>
      </c>
      <c r="N221" s="63" t="s">
        <v>1056</v>
      </c>
      <c r="O221" s="25">
        <f t="shared" si="24"/>
        <v>45847</v>
      </c>
      <c r="P221" s="27" t="e">
        <f t="shared" si="22"/>
        <v>#NUM!</v>
      </c>
      <c r="Q221" s="27">
        <f t="shared" si="23"/>
        <v>-3805</v>
      </c>
      <c r="R221" s="66" t="s">
        <v>894</v>
      </c>
      <c r="S221" s="67">
        <v>0</v>
      </c>
      <c r="T221" s="18" t="s">
        <v>23</v>
      </c>
      <c r="U221" s="14"/>
    </row>
    <row r="222" spans="1:21" x14ac:dyDescent="0.2">
      <c r="A222" s="17">
        <v>220</v>
      </c>
      <c r="B222" s="18" t="s">
        <v>1057</v>
      </c>
      <c r="C222" s="19" t="s">
        <v>1058</v>
      </c>
      <c r="D222" s="20" t="s">
        <v>1059</v>
      </c>
      <c r="E222" s="21">
        <v>100000</v>
      </c>
      <c r="F222" s="20" t="s">
        <v>21</v>
      </c>
      <c r="G222" s="20" t="s">
        <v>21</v>
      </c>
      <c r="H222" s="22">
        <v>45664</v>
      </c>
      <c r="I222" s="23">
        <v>46029</v>
      </c>
      <c r="J222" s="24">
        <v>45819</v>
      </c>
      <c r="K222" s="25">
        <f t="shared" si="19"/>
        <v>1431978</v>
      </c>
      <c r="L222" s="26" t="str">
        <f t="shared" si="20"/>
        <v>Aug 20</v>
      </c>
      <c r="M222" s="26" t="str">
        <f t="shared" si="21"/>
        <v>5820</v>
      </c>
      <c r="N222" s="23"/>
      <c r="O222" s="25" t="e">
        <f t="shared" si="24"/>
        <v>#VALUE!</v>
      </c>
      <c r="P222" s="27" t="e">
        <f t="shared" si="22"/>
        <v>#VALUE!</v>
      </c>
      <c r="Q222" s="27" t="e">
        <f t="shared" si="23"/>
        <v>#VALUE!</v>
      </c>
      <c r="R222" s="28" t="s">
        <v>22</v>
      </c>
      <c r="S222" s="21">
        <v>2637</v>
      </c>
      <c r="T222" s="18" t="s">
        <v>23</v>
      </c>
      <c r="U222" s="14"/>
    </row>
    <row r="223" spans="1:21" x14ac:dyDescent="0.2">
      <c r="A223" s="17">
        <v>221</v>
      </c>
      <c r="B223" s="18" t="s">
        <v>1060</v>
      </c>
      <c r="C223" s="19" t="s">
        <v>1061</v>
      </c>
      <c r="D223" s="20" t="s">
        <v>1062</v>
      </c>
      <c r="E223" s="21">
        <v>110000</v>
      </c>
      <c r="F223" s="20" t="s">
        <v>21</v>
      </c>
      <c r="G223" s="20" t="s">
        <v>21</v>
      </c>
      <c r="H223" s="22" t="s">
        <v>1063</v>
      </c>
      <c r="I223" s="23" t="s">
        <v>56</v>
      </c>
      <c r="J223" s="24" t="s">
        <v>1064</v>
      </c>
      <c r="K223" s="25">
        <f t="shared" si="19"/>
        <v>45834</v>
      </c>
      <c r="L223" s="26" t="str">
        <f t="shared" si="20"/>
        <v>Jun 25</v>
      </c>
      <c r="M223" s="26" t="str">
        <f t="shared" si="21"/>
        <v>2025</v>
      </c>
      <c r="N223" s="23" t="s">
        <v>1032</v>
      </c>
      <c r="O223" s="25">
        <f t="shared" si="24"/>
        <v>45852</v>
      </c>
      <c r="P223" s="27">
        <f t="shared" si="22"/>
        <v>0</v>
      </c>
      <c r="Q223" s="27">
        <f t="shared" si="23"/>
        <v>0</v>
      </c>
      <c r="R223" s="28" t="s">
        <v>22</v>
      </c>
      <c r="S223" s="21">
        <v>94500</v>
      </c>
      <c r="T223" s="18" t="s">
        <v>23</v>
      </c>
      <c r="U223" s="14"/>
    </row>
    <row r="224" spans="1:21" x14ac:dyDescent="0.2">
      <c r="A224" s="17">
        <v>222</v>
      </c>
      <c r="B224" s="18" t="s">
        <v>1065</v>
      </c>
      <c r="C224" s="19" t="s">
        <v>1066</v>
      </c>
      <c r="D224" s="20" t="s">
        <v>1067</v>
      </c>
      <c r="E224" s="21">
        <v>100000</v>
      </c>
      <c r="F224" s="20" t="s">
        <v>21</v>
      </c>
      <c r="G224" s="20" t="s">
        <v>21</v>
      </c>
      <c r="H224" s="22" t="s">
        <v>27</v>
      </c>
      <c r="I224" s="23" t="s">
        <v>34</v>
      </c>
      <c r="J224" s="24" t="s">
        <v>933</v>
      </c>
      <c r="K224" s="25">
        <f t="shared" si="19"/>
        <v>45827</v>
      </c>
      <c r="L224" s="26" t="str">
        <f t="shared" si="20"/>
        <v>Jun 25</v>
      </c>
      <c r="M224" s="26" t="str">
        <f t="shared" si="21"/>
        <v>2025</v>
      </c>
      <c r="N224" s="23" t="s">
        <v>1013</v>
      </c>
      <c r="O224" s="25">
        <f t="shared" si="24"/>
        <v>45842</v>
      </c>
      <c r="P224" s="27">
        <f t="shared" si="22"/>
        <v>0</v>
      </c>
      <c r="Q224" s="27">
        <f t="shared" si="23"/>
        <v>0</v>
      </c>
      <c r="R224" s="28" t="s">
        <v>22</v>
      </c>
      <c r="S224" s="21">
        <v>31000</v>
      </c>
      <c r="T224" s="18" t="s">
        <v>23</v>
      </c>
      <c r="U224" s="14"/>
    </row>
    <row r="225" spans="1:21" x14ac:dyDescent="0.2">
      <c r="A225" s="17">
        <v>223</v>
      </c>
      <c r="B225" s="18" t="s">
        <v>1068</v>
      </c>
      <c r="C225" s="19" t="s">
        <v>1069</v>
      </c>
      <c r="D225" s="20" t="s">
        <v>1070</v>
      </c>
      <c r="E225" s="21">
        <v>200000</v>
      </c>
      <c r="F225" s="20" t="s">
        <v>21</v>
      </c>
      <c r="G225" s="20" t="s">
        <v>21</v>
      </c>
      <c r="H225" s="22" t="s">
        <v>27</v>
      </c>
      <c r="I225" s="23" t="s">
        <v>34</v>
      </c>
      <c r="J225" s="24" t="s">
        <v>1071</v>
      </c>
      <c r="K225" s="25">
        <f t="shared" si="19"/>
        <v>45825</v>
      </c>
      <c r="L225" s="26" t="str">
        <f t="shared" si="20"/>
        <v>Jun 25</v>
      </c>
      <c r="M225" s="26" t="str">
        <f t="shared" si="21"/>
        <v>2025</v>
      </c>
      <c r="N225" s="23" t="s">
        <v>1013</v>
      </c>
      <c r="O225" s="25">
        <f t="shared" si="24"/>
        <v>45842</v>
      </c>
      <c r="P225" s="27">
        <f t="shared" si="22"/>
        <v>0</v>
      </c>
      <c r="Q225" s="27">
        <f t="shared" si="23"/>
        <v>0</v>
      </c>
      <c r="R225" s="28" t="s">
        <v>22</v>
      </c>
      <c r="S225" s="21">
        <v>48740</v>
      </c>
      <c r="T225" s="18" t="s">
        <v>23</v>
      </c>
      <c r="U225" s="14"/>
    </row>
    <row r="226" spans="1:21" x14ac:dyDescent="0.2">
      <c r="A226" s="17">
        <v>224</v>
      </c>
      <c r="B226" s="18" t="s">
        <v>1072</v>
      </c>
      <c r="C226" s="19" t="s">
        <v>1073</v>
      </c>
      <c r="D226" s="20" t="s">
        <v>1074</v>
      </c>
      <c r="E226" s="21">
        <v>120000</v>
      </c>
      <c r="F226" s="20" t="s">
        <v>21</v>
      </c>
      <c r="G226" s="20" t="s">
        <v>21</v>
      </c>
      <c r="H226" s="22" t="s">
        <v>27</v>
      </c>
      <c r="I226" s="23" t="s">
        <v>28</v>
      </c>
      <c r="J226" s="24" t="s">
        <v>1075</v>
      </c>
      <c r="K226" s="25">
        <f t="shared" si="19"/>
        <v>45846</v>
      </c>
      <c r="L226" s="26" t="str">
        <f t="shared" si="20"/>
        <v>Jul 25</v>
      </c>
      <c r="M226" s="26" t="str">
        <f t="shared" si="21"/>
        <v>2025</v>
      </c>
      <c r="N226" s="23" t="s">
        <v>1032</v>
      </c>
      <c r="O226" s="25">
        <f t="shared" si="24"/>
        <v>45852</v>
      </c>
      <c r="P226" s="27">
        <f t="shared" si="22"/>
        <v>0</v>
      </c>
      <c r="Q226" s="27">
        <f t="shared" si="23"/>
        <v>0</v>
      </c>
      <c r="R226" s="28" t="s">
        <v>22</v>
      </c>
      <c r="S226" s="21">
        <v>34128</v>
      </c>
      <c r="T226" s="18" t="s">
        <v>23</v>
      </c>
      <c r="U226" s="14"/>
    </row>
    <row r="227" spans="1:21" x14ac:dyDescent="0.2">
      <c r="A227" s="17">
        <v>225</v>
      </c>
      <c r="B227" s="18" t="s">
        <v>1076</v>
      </c>
      <c r="C227" s="19" t="s">
        <v>1077</v>
      </c>
      <c r="D227" s="20" t="s">
        <v>1078</v>
      </c>
      <c r="E227" s="21">
        <v>50000</v>
      </c>
      <c r="F227" s="20" t="s">
        <v>21</v>
      </c>
      <c r="G227" s="20" t="s">
        <v>21</v>
      </c>
      <c r="H227" s="22" t="s">
        <v>140</v>
      </c>
      <c r="I227" s="23" t="s">
        <v>141</v>
      </c>
      <c r="J227" s="24" t="s">
        <v>647</v>
      </c>
      <c r="K227" s="25">
        <f t="shared" si="19"/>
        <v>45806</v>
      </c>
      <c r="L227" s="26" t="str">
        <f t="shared" si="20"/>
        <v>May 25</v>
      </c>
      <c r="M227" s="26" t="str">
        <f t="shared" si="21"/>
        <v>2025</v>
      </c>
      <c r="N227" s="23" t="s">
        <v>1032</v>
      </c>
      <c r="O227" s="25">
        <f t="shared" si="24"/>
        <v>45852</v>
      </c>
      <c r="P227" s="27">
        <f t="shared" si="22"/>
        <v>1</v>
      </c>
      <c r="Q227" s="27">
        <f t="shared" si="23"/>
        <v>0</v>
      </c>
      <c r="R227" s="28" t="s">
        <v>22</v>
      </c>
      <c r="S227" s="21">
        <v>1954</v>
      </c>
      <c r="T227" s="18" t="s">
        <v>23</v>
      </c>
      <c r="U227" s="14"/>
    </row>
    <row r="228" spans="1:21" x14ac:dyDescent="0.2">
      <c r="A228" s="17">
        <v>226</v>
      </c>
      <c r="B228" s="18" t="s">
        <v>1079</v>
      </c>
      <c r="C228" s="19" t="s">
        <v>1080</v>
      </c>
      <c r="D228" s="20" t="s">
        <v>1081</v>
      </c>
      <c r="E228" s="21">
        <v>60000</v>
      </c>
      <c r="F228" s="20" t="s">
        <v>21</v>
      </c>
      <c r="G228" s="20" t="s">
        <v>21</v>
      </c>
      <c r="H228" s="22" t="s">
        <v>128</v>
      </c>
      <c r="I228" s="23" t="s">
        <v>718</v>
      </c>
      <c r="J228" s="24" t="s">
        <v>997</v>
      </c>
      <c r="K228" s="25">
        <f t="shared" si="19"/>
        <v>45836</v>
      </c>
      <c r="L228" s="26" t="str">
        <f t="shared" si="20"/>
        <v>Jun 25</v>
      </c>
      <c r="M228" s="26" t="str">
        <f t="shared" si="21"/>
        <v>2025</v>
      </c>
      <c r="N228" s="23" t="s">
        <v>1023</v>
      </c>
      <c r="O228" s="25">
        <f t="shared" si="24"/>
        <v>45855</v>
      </c>
      <c r="P228" s="27">
        <f t="shared" si="22"/>
        <v>0</v>
      </c>
      <c r="Q228" s="27">
        <f t="shared" si="23"/>
        <v>0</v>
      </c>
      <c r="R228" s="28" t="s">
        <v>22</v>
      </c>
      <c r="S228" s="21">
        <v>5400</v>
      </c>
      <c r="T228" s="18" t="s">
        <v>23</v>
      </c>
      <c r="U228" s="14"/>
    </row>
    <row r="229" spans="1:21" x14ac:dyDescent="0.2">
      <c r="A229" s="17">
        <v>227</v>
      </c>
      <c r="B229" s="18" t="s">
        <v>1082</v>
      </c>
      <c r="C229" s="19" t="s">
        <v>1083</v>
      </c>
      <c r="D229" s="20" t="s">
        <v>1084</v>
      </c>
      <c r="E229" s="21">
        <v>300000</v>
      </c>
      <c r="F229" s="20" t="s">
        <v>21</v>
      </c>
      <c r="G229" s="20" t="s">
        <v>21</v>
      </c>
      <c r="H229" s="22" t="s">
        <v>186</v>
      </c>
      <c r="I229" s="23" t="s">
        <v>34</v>
      </c>
      <c r="J229" s="24" t="s">
        <v>933</v>
      </c>
      <c r="K229" s="25">
        <f t="shared" si="19"/>
        <v>45827</v>
      </c>
      <c r="L229" s="26" t="str">
        <f t="shared" si="20"/>
        <v>Jun 25</v>
      </c>
      <c r="M229" s="26" t="str">
        <f t="shared" si="21"/>
        <v>2025</v>
      </c>
      <c r="N229" s="23" t="s">
        <v>1085</v>
      </c>
      <c r="O229" s="25">
        <f t="shared" si="24"/>
        <v>45860</v>
      </c>
      <c r="P229" s="27">
        <f t="shared" si="22"/>
        <v>1</v>
      </c>
      <c r="Q229" s="27">
        <f t="shared" si="23"/>
        <v>0</v>
      </c>
      <c r="R229" s="28" t="s">
        <v>22</v>
      </c>
      <c r="S229" s="21">
        <v>58770</v>
      </c>
      <c r="T229" s="18" t="s">
        <v>23</v>
      </c>
      <c r="U229" s="14"/>
    </row>
    <row r="230" spans="1:21" x14ac:dyDescent="0.2">
      <c r="A230" s="17">
        <v>228</v>
      </c>
      <c r="B230" s="18" t="s">
        <v>915</v>
      </c>
      <c r="C230" s="19" t="s">
        <v>1086</v>
      </c>
      <c r="D230" s="20" t="s">
        <v>1087</v>
      </c>
      <c r="E230" s="21">
        <v>199065</v>
      </c>
      <c r="F230" s="20" t="s">
        <v>269</v>
      </c>
      <c r="G230" s="20" t="s">
        <v>21</v>
      </c>
      <c r="H230" s="22" t="s">
        <v>140</v>
      </c>
      <c r="I230" s="23" t="s">
        <v>141</v>
      </c>
      <c r="J230" s="24" t="s">
        <v>733</v>
      </c>
      <c r="K230" s="25">
        <f t="shared" si="19"/>
        <v>45802</v>
      </c>
      <c r="L230" s="26" t="str">
        <f t="shared" si="20"/>
        <v>May 25</v>
      </c>
      <c r="M230" s="26" t="str">
        <f t="shared" si="21"/>
        <v>2025</v>
      </c>
      <c r="N230" s="23" t="s">
        <v>786</v>
      </c>
      <c r="O230" s="25">
        <f t="shared" si="24"/>
        <v>45845</v>
      </c>
      <c r="P230" s="27">
        <f t="shared" si="22"/>
        <v>1</v>
      </c>
      <c r="Q230" s="27">
        <f t="shared" si="23"/>
        <v>0</v>
      </c>
      <c r="R230" s="28" t="s">
        <v>22</v>
      </c>
      <c r="S230" s="21">
        <v>3915</v>
      </c>
      <c r="T230" s="18" t="s">
        <v>23</v>
      </c>
      <c r="U230" s="14"/>
    </row>
    <row r="231" spans="1:21" x14ac:dyDescent="0.2">
      <c r="A231" s="17">
        <v>229</v>
      </c>
      <c r="B231" s="18" t="s">
        <v>1088</v>
      </c>
      <c r="C231" s="19" t="s">
        <v>1089</v>
      </c>
      <c r="D231" s="20" t="s">
        <v>1090</v>
      </c>
      <c r="E231" s="21" t="s">
        <v>374</v>
      </c>
      <c r="F231" s="20" t="s">
        <v>1091</v>
      </c>
      <c r="G231" s="20" t="s">
        <v>21</v>
      </c>
      <c r="H231" s="22" t="s">
        <v>120</v>
      </c>
      <c r="I231" s="23" t="s">
        <v>1092</v>
      </c>
      <c r="J231" s="24" t="s">
        <v>464</v>
      </c>
      <c r="K231" s="25">
        <f t="shared" si="19"/>
        <v>45841</v>
      </c>
      <c r="L231" s="26" t="str">
        <f t="shared" si="20"/>
        <v>Jul 25</v>
      </c>
      <c r="M231" s="26" t="str">
        <f t="shared" si="21"/>
        <v>2025</v>
      </c>
      <c r="N231" s="23" t="s">
        <v>1013</v>
      </c>
      <c r="O231" s="25">
        <f t="shared" si="24"/>
        <v>45842</v>
      </c>
      <c r="P231" s="27">
        <f t="shared" si="22"/>
        <v>0</v>
      </c>
      <c r="Q231" s="27">
        <f t="shared" si="23"/>
        <v>0</v>
      </c>
      <c r="R231" s="28" t="s">
        <v>22</v>
      </c>
      <c r="S231" s="21">
        <v>17190</v>
      </c>
      <c r="T231" s="18" t="s">
        <v>23</v>
      </c>
      <c r="U231" s="14"/>
    </row>
    <row r="232" spans="1:21" x14ac:dyDescent="0.2">
      <c r="A232" s="17">
        <v>230</v>
      </c>
      <c r="B232" s="18" t="s">
        <v>1093</v>
      </c>
      <c r="C232" s="19" t="s">
        <v>1094</v>
      </c>
      <c r="D232" s="20" t="s">
        <v>1095</v>
      </c>
      <c r="E232" s="21">
        <v>100000</v>
      </c>
      <c r="F232" s="20" t="s">
        <v>1096</v>
      </c>
      <c r="G232" s="20" t="s">
        <v>21</v>
      </c>
      <c r="H232" s="22" t="s">
        <v>943</v>
      </c>
      <c r="I232" s="23" t="s">
        <v>1097</v>
      </c>
      <c r="J232" s="24" t="s">
        <v>1006</v>
      </c>
      <c r="K232" s="25">
        <f t="shared" si="19"/>
        <v>45849</v>
      </c>
      <c r="L232" s="26" t="str">
        <f t="shared" si="20"/>
        <v>Jul 25</v>
      </c>
      <c r="M232" s="26" t="str">
        <f t="shared" si="21"/>
        <v>2025</v>
      </c>
      <c r="N232" s="23" t="s">
        <v>1098</v>
      </c>
      <c r="O232" s="25">
        <f t="shared" si="24"/>
        <v>45854</v>
      </c>
      <c r="P232" s="27">
        <f t="shared" si="22"/>
        <v>0</v>
      </c>
      <c r="Q232" s="27">
        <f t="shared" si="23"/>
        <v>0</v>
      </c>
      <c r="R232" s="28" t="s">
        <v>22</v>
      </c>
      <c r="S232" s="21">
        <v>19620.689999999999</v>
      </c>
      <c r="T232" s="18" t="s">
        <v>23</v>
      </c>
      <c r="U232" s="14"/>
    </row>
    <row r="233" spans="1:21" x14ac:dyDescent="0.2">
      <c r="A233" s="17">
        <v>231</v>
      </c>
      <c r="B233" s="18" t="s">
        <v>1099</v>
      </c>
      <c r="C233" s="19" t="s">
        <v>1100</v>
      </c>
      <c r="D233" s="20" t="s">
        <v>1101</v>
      </c>
      <c r="E233" s="21">
        <v>500000</v>
      </c>
      <c r="F233" s="20" t="s">
        <v>21</v>
      </c>
      <c r="G233" s="20" t="s">
        <v>21</v>
      </c>
      <c r="H233" s="22" t="s">
        <v>310</v>
      </c>
      <c r="I233" s="23" t="s">
        <v>1102</v>
      </c>
      <c r="J233" s="24" t="s">
        <v>1103</v>
      </c>
      <c r="K233" s="25">
        <f t="shared" si="19"/>
        <v>45858</v>
      </c>
      <c r="L233" s="26" t="str">
        <f t="shared" si="20"/>
        <v>Jul 25</v>
      </c>
      <c r="M233" s="26" t="str">
        <f t="shared" si="21"/>
        <v>2025</v>
      </c>
      <c r="N233" s="23" t="s">
        <v>151</v>
      </c>
      <c r="O233" s="25">
        <f t="shared" si="24"/>
        <v>45862</v>
      </c>
      <c r="P233" s="27">
        <f t="shared" si="22"/>
        <v>0</v>
      </c>
      <c r="Q233" s="27">
        <f t="shared" si="23"/>
        <v>0</v>
      </c>
      <c r="R233" s="28" t="s">
        <v>22</v>
      </c>
      <c r="S233" s="21">
        <v>21924</v>
      </c>
      <c r="T233" s="18" t="s">
        <v>23</v>
      </c>
      <c r="U233" s="14"/>
    </row>
    <row r="234" spans="1:21" x14ac:dyDescent="0.2">
      <c r="A234" s="17">
        <v>232</v>
      </c>
      <c r="B234" s="18" t="s">
        <v>1104</v>
      </c>
      <c r="C234" s="19" t="s">
        <v>1105</v>
      </c>
      <c r="D234" s="20" t="s">
        <v>1106</v>
      </c>
      <c r="E234" s="21">
        <v>35000</v>
      </c>
      <c r="F234" s="20" t="s">
        <v>21</v>
      </c>
      <c r="G234" s="20" t="s">
        <v>21</v>
      </c>
      <c r="H234" s="22" t="s">
        <v>140</v>
      </c>
      <c r="I234" s="23" t="s">
        <v>141</v>
      </c>
      <c r="J234" s="24" t="s">
        <v>877</v>
      </c>
      <c r="K234" s="25">
        <f t="shared" si="19"/>
        <v>45807</v>
      </c>
      <c r="L234" s="26" t="str">
        <f t="shared" si="20"/>
        <v>May 25</v>
      </c>
      <c r="M234" s="26" t="str">
        <f t="shared" si="21"/>
        <v>2025</v>
      </c>
      <c r="N234" s="23" t="s">
        <v>331</v>
      </c>
      <c r="O234" s="25">
        <f t="shared" si="24"/>
        <v>45861</v>
      </c>
      <c r="P234" s="27">
        <f t="shared" si="22"/>
        <v>1</v>
      </c>
      <c r="Q234" s="27">
        <f t="shared" si="23"/>
        <v>0</v>
      </c>
      <c r="R234" s="28" t="s">
        <v>22</v>
      </c>
      <c r="S234" s="21">
        <v>31500</v>
      </c>
      <c r="T234" s="18" t="s">
        <v>23</v>
      </c>
      <c r="U234" s="14"/>
    </row>
    <row r="235" spans="1:21" x14ac:dyDescent="0.2">
      <c r="A235" s="17">
        <v>233</v>
      </c>
      <c r="B235" s="18" t="s">
        <v>477</v>
      </c>
      <c r="C235" s="19" t="s">
        <v>1107</v>
      </c>
      <c r="D235" s="20" t="s">
        <v>1108</v>
      </c>
      <c r="E235" s="21">
        <v>1500000</v>
      </c>
      <c r="F235" s="20" t="s">
        <v>21</v>
      </c>
      <c r="G235" s="20" t="s">
        <v>21</v>
      </c>
      <c r="H235" s="22" t="s">
        <v>140</v>
      </c>
      <c r="I235" s="23" t="s">
        <v>141</v>
      </c>
      <c r="J235" s="24" t="s">
        <v>1109</v>
      </c>
      <c r="K235" s="25">
        <f t="shared" si="19"/>
        <v>158</v>
      </c>
      <c r="L235" s="26" t="str">
        <f t="shared" si="20"/>
        <v>Jun 00</v>
      </c>
      <c r="M235" s="26" t="str">
        <f t="shared" si="21"/>
        <v>1900</v>
      </c>
      <c r="N235" s="23" t="s">
        <v>1056</v>
      </c>
      <c r="O235" s="25">
        <f t="shared" si="24"/>
        <v>45847</v>
      </c>
      <c r="P235" s="27">
        <f t="shared" si="22"/>
        <v>1501</v>
      </c>
      <c r="Q235" s="27">
        <f t="shared" si="23"/>
        <v>125</v>
      </c>
      <c r="R235" s="28" t="s">
        <v>22</v>
      </c>
      <c r="S235" s="21">
        <v>18270</v>
      </c>
      <c r="T235" s="18" t="s">
        <v>23</v>
      </c>
      <c r="U235" s="14"/>
    </row>
    <row r="236" spans="1:21" x14ac:dyDescent="0.2">
      <c r="A236" s="17">
        <v>234</v>
      </c>
      <c r="B236" s="18" t="s">
        <v>1110</v>
      </c>
      <c r="C236" s="19" t="s">
        <v>1111</v>
      </c>
      <c r="D236" s="20" t="s">
        <v>1112</v>
      </c>
      <c r="E236" s="21" t="s">
        <v>374</v>
      </c>
      <c r="F236" s="20" t="s">
        <v>1113</v>
      </c>
      <c r="G236" s="20" t="s">
        <v>21</v>
      </c>
      <c r="H236" s="22" t="s">
        <v>297</v>
      </c>
      <c r="I236" s="23" t="s">
        <v>259</v>
      </c>
      <c r="J236" s="24" t="s">
        <v>997</v>
      </c>
      <c r="K236" s="25">
        <f t="shared" si="19"/>
        <v>45836</v>
      </c>
      <c r="L236" s="26" t="str">
        <f t="shared" si="20"/>
        <v>Jun 25</v>
      </c>
      <c r="M236" s="26" t="str">
        <f t="shared" si="21"/>
        <v>2025</v>
      </c>
      <c r="N236" s="23" t="s">
        <v>1114</v>
      </c>
      <c r="O236" s="25">
        <f t="shared" si="24"/>
        <v>45868</v>
      </c>
      <c r="P236" s="27">
        <f t="shared" si="22"/>
        <v>1</v>
      </c>
      <c r="Q236" s="27">
        <f t="shared" si="23"/>
        <v>0</v>
      </c>
      <c r="R236" s="28" t="s">
        <v>22</v>
      </c>
      <c r="S236" s="21">
        <v>11034</v>
      </c>
      <c r="T236" s="18" t="s">
        <v>23</v>
      </c>
      <c r="U236" s="14"/>
    </row>
    <row r="237" spans="1:21" x14ac:dyDescent="0.2">
      <c r="A237" s="17">
        <v>235</v>
      </c>
      <c r="B237" s="18" t="s">
        <v>1115</v>
      </c>
      <c r="C237" s="19" t="s">
        <v>1116</v>
      </c>
      <c r="D237" s="20" t="s">
        <v>1117</v>
      </c>
      <c r="E237" s="21">
        <v>95000</v>
      </c>
      <c r="F237" s="20" t="s">
        <v>21</v>
      </c>
      <c r="G237" s="20" t="s">
        <v>21</v>
      </c>
      <c r="H237" s="22" t="s">
        <v>719</v>
      </c>
      <c r="I237" s="23" t="s">
        <v>800</v>
      </c>
      <c r="J237" s="24" t="s">
        <v>1118</v>
      </c>
      <c r="K237" s="25">
        <f t="shared" si="19"/>
        <v>45869</v>
      </c>
      <c r="L237" s="26" t="str">
        <f t="shared" si="20"/>
        <v>Jul 25</v>
      </c>
      <c r="M237" s="26" t="str">
        <f t="shared" si="21"/>
        <v>2025</v>
      </c>
      <c r="N237" s="23" t="s">
        <v>1119</v>
      </c>
      <c r="O237" s="25">
        <f t="shared" si="24"/>
        <v>45874</v>
      </c>
      <c r="P237" s="27">
        <f t="shared" si="22"/>
        <v>0</v>
      </c>
      <c r="Q237" s="27">
        <f t="shared" si="23"/>
        <v>0</v>
      </c>
      <c r="R237" s="28" t="s">
        <v>22</v>
      </c>
      <c r="S237" s="21">
        <v>24417</v>
      </c>
      <c r="T237" s="18" t="s">
        <v>23</v>
      </c>
      <c r="U237" s="14"/>
    </row>
    <row r="238" spans="1:21" x14ac:dyDescent="0.2">
      <c r="A238" s="17">
        <v>236</v>
      </c>
      <c r="B238" s="18" t="s">
        <v>1120</v>
      </c>
      <c r="C238" s="19" t="s">
        <v>1121</v>
      </c>
      <c r="D238" s="20" t="s">
        <v>1122</v>
      </c>
      <c r="E238" s="21">
        <v>80000</v>
      </c>
      <c r="F238" s="20" t="s">
        <v>1123</v>
      </c>
      <c r="G238" s="20" t="s">
        <v>21</v>
      </c>
      <c r="H238" s="22" t="s">
        <v>311</v>
      </c>
      <c r="I238" s="23" t="s">
        <v>571</v>
      </c>
      <c r="J238" s="24" t="s">
        <v>331</v>
      </c>
      <c r="K238" s="25">
        <f t="shared" si="19"/>
        <v>45861</v>
      </c>
      <c r="L238" s="26" t="str">
        <f t="shared" si="20"/>
        <v>Jul 25</v>
      </c>
      <c r="M238" s="26" t="str">
        <f t="shared" si="21"/>
        <v>2025</v>
      </c>
      <c r="N238" s="23" t="s">
        <v>281</v>
      </c>
      <c r="O238" s="25">
        <f t="shared" si="24"/>
        <v>45870</v>
      </c>
      <c r="P238" s="27">
        <f t="shared" si="22"/>
        <v>0</v>
      </c>
      <c r="Q238" s="27">
        <f t="shared" si="23"/>
        <v>0</v>
      </c>
      <c r="R238" s="28" t="s">
        <v>22</v>
      </c>
      <c r="S238" s="21">
        <v>41841</v>
      </c>
      <c r="T238" s="18" t="s">
        <v>23</v>
      </c>
      <c r="U238" s="14"/>
    </row>
    <row r="239" spans="1:21" x14ac:dyDescent="0.2">
      <c r="A239" s="17">
        <v>237</v>
      </c>
      <c r="B239" s="18" t="s">
        <v>1124</v>
      </c>
      <c r="C239" s="19" t="s">
        <v>1125</v>
      </c>
      <c r="D239" s="20" t="s">
        <v>1126</v>
      </c>
      <c r="E239" s="21">
        <v>65000</v>
      </c>
      <c r="F239" s="20" t="s">
        <v>21</v>
      </c>
      <c r="G239" s="20" t="s">
        <v>21</v>
      </c>
      <c r="H239" s="22" t="s">
        <v>1127</v>
      </c>
      <c r="I239" s="23" t="s">
        <v>1128</v>
      </c>
      <c r="J239" s="24" t="s">
        <v>1103</v>
      </c>
      <c r="K239" s="25">
        <f t="shared" si="19"/>
        <v>45858</v>
      </c>
      <c r="L239" s="26" t="str">
        <f t="shared" si="20"/>
        <v>Jul 25</v>
      </c>
      <c r="M239" s="26" t="str">
        <f t="shared" si="21"/>
        <v>2025</v>
      </c>
      <c r="N239" s="23" t="s">
        <v>1129</v>
      </c>
      <c r="O239" s="25">
        <f t="shared" si="24"/>
        <v>45888</v>
      </c>
      <c r="P239" s="27">
        <f t="shared" si="22"/>
        <v>0</v>
      </c>
      <c r="Q239" s="27">
        <f t="shared" si="23"/>
        <v>0</v>
      </c>
      <c r="R239" s="28" t="s">
        <v>22</v>
      </c>
      <c r="S239" s="21">
        <v>19680</v>
      </c>
      <c r="T239" s="18" t="s">
        <v>23</v>
      </c>
      <c r="U239" s="14"/>
    </row>
    <row r="240" spans="1:21" x14ac:dyDescent="0.2">
      <c r="A240" s="17">
        <v>238</v>
      </c>
      <c r="B240" s="18" t="s">
        <v>1130</v>
      </c>
      <c r="C240" s="19" t="s">
        <v>1131</v>
      </c>
      <c r="D240" s="20" t="s">
        <v>1132</v>
      </c>
      <c r="E240" s="21">
        <v>120000</v>
      </c>
      <c r="F240" s="20" t="s">
        <v>21</v>
      </c>
      <c r="G240" s="20" t="s">
        <v>21</v>
      </c>
      <c r="H240" s="22" t="s">
        <v>1133</v>
      </c>
      <c r="I240" s="23" t="s">
        <v>1134</v>
      </c>
      <c r="J240" s="24">
        <v>45695</v>
      </c>
      <c r="K240" s="25">
        <f t="shared" si="19"/>
        <v>1389002</v>
      </c>
      <c r="L240" s="26" t="str">
        <f t="shared" si="20"/>
        <v>Dec 02</v>
      </c>
      <c r="M240" s="26" t="str">
        <f t="shared" si="21"/>
        <v>5702</v>
      </c>
      <c r="N240" s="23"/>
      <c r="O240" s="25" t="e">
        <f t="shared" si="24"/>
        <v>#VALUE!</v>
      </c>
      <c r="P240" s="27" t="e">
        <f t="shared" si="22"/>
        <v>#VALUE!</v>
      </c>
      <c r="Q240" s="27" t="e">
        <f t="shared" si="23"/>
        <v>#VALUE!</v>
      </c>
      <c r="R240" s="28" t="s">
        <v>22</v>
      </c>
      <c r="S240" s="21">
        <v>2520</v>
      </c>
      <c r="T240" s="18" t="s">
        <v>23</v>
      </c>
      <c r="U240" s="14"/>
    </row>
    <row r="241" spans="1:21" x14ac:dyDescent="0.2">
      <c r="A241" s="17">
        <v>239</v>
      </c>
      <c r="B241" s="18" t="s">
        <v>1135</v>
      </c>
      <c r="C241" s="19" t="s">
        <v>1136</v>
      </c>
      <c r="D241" s="20" t="s">
        <v>1137</v>
      </c>
      <c r="E241" s="21">
        <v>85000</v>
      </c>
      <c r="F241" s="20" t="s">
        <v>21</v>
      </c>
      <c r="G241" s="20" t="s">
        <v>21</v>
      </c>
      <c r="H241" s="22" t="s">
        <v>110</v>
      </c>
      <c r="I241" s="23" t="s">
        <v>111</v>
      </c>
      <c r="J241" s="24" t="s">
        <v>110</v>
      </c>
      <c r="K241" s="25">
        <f t="shared" si="19"/>
        <v>45566</v>
      </c>
      <c r="L241" s="26" t="str">
        <f t="shared" si="20"/>
        <v>Oct 24</v>
      </c>
      <c r="M241" s="26" t="str">
        <f t="shared" si="21"/>
        <v>2024</v>
      </c>
      <c r="N241" s="23" t="s">
        <v>111</v>
      </c>
      <c r="O241" s="25">
        <f t="shared" si="24"/>
        <v>45930</v>
      </c>
      <c r="P241" s="27">
        <f t="shared" si="22"/>
        <v>11</v>
      </c>
      <c r="Q241" s="27">
        <f t="shared" si="23"/>
        <v>1</v>
      </c>
      <c r="R241" s="28" t="s">
        <v>22</v>
      </c>
      <c r="S241" s="21">
        <v>2520</v>
      </c>
      <c r="T241" s="18" t="s">
        <v>23</v>
      </c>
      <c r="U241" s="14"/>
    </row>
    <row r="242" spans="1:21" x14ac:dyDescent="0.2">
      <c r="A242" s="17">
        <v>240</v>
      </c>
      <c r="B242" s="18" t="s">
        <v>1138</v>
      </c>
      <c r="C242" s="19" t="s">
        <v>1139</v>
      </c>
      <c r="D242" s="20" t="s">
        <v>1140</v>
      </c>
      <c r="E242" s="21">
        <v>55000</v>
      </c>
      <c r="F242" s="20" t="s">
        <v>21</v>
      </c>
      <c r="G242" s="20" t="s">
        <v>21</v>
      </c>
      <c r="H242" s="22" t="s">
        <v>140</v>
      </c>
      <c r="I242" s="23" t="s">
        <v>140</v>
      </c>
      <c r="J242" s="24" t="s">
        <v>1098</v>
      </c>
      <c r="K242" s="25">
        <f t="shared" si="19"/>
        <v>45854</v>
      </c>
      <c r="L242" s="26" t="str">
        <f t="shared" si="20"/>
        <v>Jul 25</v>
      </c>
      <c r="M242" s="26" t="str">
        <f t="shared" si="21"/>
        <v>2025</v>
      </c>
      <c r="N242" s="23" t="s">
        <v>1118</v>
      </c>
      <c r="O242" s="25">
        <f t="shared" si="24"/>
        <v>45869</v>
      </c>
      <c r="P242" s="27">
        <f t="shared" si="22"/>
        <v>0</v>
      </c>
      <c r="Q242" s="27">
        <f t="shared" si="23"/>
        <v>0</v>
      </c>
      <c r="R242" s="28" t="s">
        <v>22</v>
      </c>
      <c r="S242" s="21">
        <v>14175</v>
      </c>
      <c r="T242" s="18" t="s">
        <v>23</v>
      </c>
      <c r="U242" s="14"/>
    </row>
    <row r="243" spans="1:21" x14ac:dyDescent="0.2">
      <c r="A243" s="17">
        <v>241</v>
      </c>
      <c r="B243" s="18" t="s">
        <v>1141</v>
      </c>
      <c r="C243" s="19" t="s">
        <v>1142</v>
      </c>
      <c r="D243" s="20" t="s">
        <v>1143</v>
      </c>
      <c r="E243" s="21">
        <v>120000</v>
      </c>
      <c r="F243" s="20" t="s">
        <v>21</v>
      </c>
      <c r="G243" s="20" t="s">
        <v>21</v>
      </c>
      <c r="H243" s="22" t="s">
        <v>719</v>
      </c>
      <c r="I243" s="23" t="s">
        <v>1144</v>
      </c>
      <c r="J243" s="24" t="s">
        <v>1045</v>
      </c>
      <c r="K243" s="25">
        <f t="shared" si="19"/>
        <v>45851</v>
      </c>
      <c r="L243" s="26" t="str">
        <f t="shared" si="20"/>
        <v>Jul 25</v>
      </c>
      <c r="M243" s="26" t="str">
        <f t="shared" si="21"/>
        <v>2025</v>
      </c>
      <c r="N243" s="23" t="s">
        <v>1145</v>
      </c>
      <c r="O243" s="25">
        <f t="shared" si="24"/>
        <v>45877</v>
      </c>
      <c r="P243" s="27">
        <f t="shared" si="22"/>
        <v>0</v>
      </c>
      <c r="Q243" s="27">
        <f t="shared" si="23"/>
        <v>0</v>
      </c>
      <c r="R243" s="28" t="s">
        <v>22</v>
      </c>
      <c r="S243" s="21">
        <v>23436</v>
      </c>
      <c r="T243" s="18" t="s">
        <v>23</v>
      </c>
      <c r="U243" s="14"/>
    </row>
    <row r="244" spans="1:21" x14ac:dyDescent="0.2">
      <c r="A244" s="17">
        <v>242</v>
      </c>
      <c r="B244" s="18" t="s">
        <v>1146</v>
      </c>
      <c r="C244" s="19" t="s">
        <v>1147</v>
      </c>
      <c r="D244" s="20" t="s">
        <v>1148</v>
      </c>
      <c r="E244" s="21">
        <v>400000</v>
      </c>
      <c r="F244" s="20" t="s">
        <v>21</v>
      </c>
      <c r="G244" s="20" t="s">
        <v>21</v>
      </c>
      <c r="H244" s="22" t="s">
        <v>140</v>
      </c>
      <c r="I244" s="23" t="s">
        <v>141</v>
      </c>
      <c r="J244" s="24" t="s">
        <v>1075</v>
      </c>
      <c r="K244" s="25">
        <f t="shared" si="19"/>
        <v>45846</v>
      </c>
      <c r="L244" s="26" t="str">
        <f t="shared" si="20"/>
        <v>Jul 25</v>
      </c>
      <c r="M244" s="26" t="str">
        <f t="shared" si="21"/>
        <v>2025</v>
      </c>
      <c r="N244" s="23" t="s">
        <v>1119</v>
      </c>
      <c r="O244" s="25">
        <f t="shared" si="24"/>
        <v>45874</v>
      </c>
      <c r="P244" s="27">
        <f t="shared" si="22"/>
        <v>0</v>
      </c>
      <c r="Q244" s="27">
        <f t="shared" si="23"/>
        <v>0</v>
      </c>
      <c r="R244" s="28" t="s">
        <v>22</v>
      </c>
      <c r="S244" s="21">
        <v>22707.5</v>
      </c>
      <c r="T244" s="18" t="s">
        <v>23</v>
      </c>
      <c r="U244" s="14"/>
    </row>
    <row r="245" spans="1:21" x14ac:dyDescent="0.2">
      <c r="A245" s="17">
        <v>243</v>
      </c>
      <c r="B245" s="18" t="s">
        <v>1149</v>
      </c>
      <c r="C245" s="19" t="s">
        <v>1150</v>
      </c>
      <c r="D245" s="20" t="s">
        <v>1151</v>
      </c>
      <c r="E245" s="21">
        <v>80000</v>
      </c>
      <c r="F245" s="20" t="s">
        <v>21</v>
      </c>
      <c r="G245" s="20" t="s">
        <v>21</v>
      </c>
      <c r="H245" s="22" t="s">
        <v>1152</v>
      </c>
      <c r="I245" s="23" t="s">
        <v>1153</v>
      </c>
      <c r="J245" s="24" t="s">
        <v>1154</v>
      </c>
      <c r="K245" s="25">
        <f t="shared" si="19"/>
        <v>45873</v>
      </c>
      <c r="L245" s="26" t="str">
        <f t="shared" si="20"/>
        <v>Aug 25</v>
      </c>
      <c r="M245" s="26" t="str">
        <f t="shared" si="21"/>
        <v>2025</v>
      </c>
      <c r="N245" s="23" t="s">
        <v>1155</v>
      </c>
      <c r="O245" s="25">
        <f t="shared" si="24"/>
        <v>45887</v>
      </c>
      <c r="P245" s="27">
        <f t="shared" si="22"/>
        <v>0</v>
      </c>
      <c r="Q245" s="27">
        <f t="shared" si="23"/>
        <v>0</v>
      </c>
      <c r="R245" s="28" t="s">
        <v>22</v>
      </c>
      <c r="S245" s="21">
        <v>4950</v>
      </c>
      <c r="T245" s="18" t="s">
        <v>23</v>
      </c>
      <c r="U245" s="14"/>
    </row>
    <row r="246" spans="1:21" x14ac:dyDescent="0.2">
      <c r="A246" s="17">
        <v>244</v>
      </c>
      <c r="B246" s="18" t="s">
        <v>1156</v>
      </c>
      <c r="C246" s="19" t="s">
        <v>1157</v>
      </c>
      <c r="D246" s="20" t="s">
        <v>1158</v>
      </c>
      <c r="E246" s="21">
        <v>140000</v>
      </c>
      <c r="F246" s="20" t="s">
        <v>21</v>
      </c>
      <c r="G246" s="20" t="s">
        <v>21</v>
      </c>
      <c r="H246" s="22" t="s">
        <v>120</v>
      </c>
      <c r="I246" s="23" t="s">
        <v>152</v>
      </c>
      <c r="J246" s="24" t="s">
        <v>962</v>
      </c>
      <c r="K246" s="25">
        <f t="shared" si="19"/>
        <v>45831</v>
      </c>
      <c r="L246" s="26" t="str">
        <f t="shared" si="20"/>
        <v>Jun 25</v>
      </c>
      <c r="M246" s="26" t="str">
        <f t="shared" si="21"/>
        <v>2025</v>
      </c>
      <c r="N246" s="23" t="s">
        <v>464</v>
      </c>
      <c r="O246" s="25">
        <f t="shared" si="24"/>
        <v>45841</v>
      </c>
      <c r="P246" s="27">
        <f t="shared" si="22"/>
        <v>0</v>
      </c>
      <c r="Q246" s="27">
        <f t="shared" si="23"/>
        <v>0</v>
      </c>
      <c r="R246" s="28" t="s">
        <v>894</v>
      </c>
      <c r="S246" s="21">
        <v>13590</v>
      </c>
      <c r="T246" s="18" t="s">
        <v>23</v>
      </c>
      <c r="U246" s="14"/>
    </row>
    <row r="247" spans="1:21" x14ac:dyDescent="0.2">
      <c r="A247" s="17">
        <v>245</v>
      </c>
      <c r="B247" s="18" t="s">
        <v>1159</v>
      </c>
      <c r="C247" s="19" t="s">
        <v>1160</v>
      </c>
      <c r="D247" s="20" t="s">
        <v>1161</v>
      </c>
      <c r="E247" s="21">
        <v>90000</v>
      </c>
      <c r="F247" s="20" t="s">
        <v>21</v>
      </c>
      <c r="G247" s="20" t="s">
        <v>21</v>
      </c>
      <c r="H247" s="22">
        <v>101.2025</v>
      </c>
      <c r="I247" s="23" t="s">
        <v>141</v>
      </c>
      <c r="J247" s="24" t="s">
        <v>1023</v>
      </c>
      <c r="K247" s="25">
        <f t="shared" si="19"/>
        <v>45855</v>
      </c>
      <c r="L247" s="26" t="str">
        <f t="shared" si="20"/>
        <v>Jul 25</v>
      </c>
      <c r="M247" s="26" t="str">
        <f t="shared" si="21"/>
        <v>2025</v>
      </c>
      <c r="N247" s="23" t="s">
        <v>1119</v>
      </c>
      <c r="O247" s="25">
        <f t="shared" si="24"/>
        <v>45874</v>
      </c>
      <c r="P247" s="27">
        <f t="shared" si="22"/>
        <v>0</v>
      </c>
      <c r="Q247" s="27">
        <f t="shared" si="23"/>
        <v>0</v>
      </c>
      <c r="R247" s="28" t="s">
        <v>22</v>
      </c>
      <c r="S247" s="21">
        <v>5625</v>
      </c>
      <c r="T247" s="18" t="s">
        <v>23</v>
      </c>
      <c r="U247" s="14"/>
    </row>
    <row r="248" spans="1:21" x14ac:dyDescent="0.2">
      <c r="A248" s="17">
        <v>246</v>
      </c>
      <c r="B248" s="18" t="s">
        <v>1162</v>
      </c>
      <c r="C248" s="19" t="s">
        <v>1163</v>
      </c>
      <c r="D248" s="20" t="s">
        <v>1164</v>
      </c>
      <c r="E248" s="21">
        <v>300000</v>
      </c>
      <c r="F248" s="20" t="s">
        <v>21</v>
      </c>
      <c r="G248" s="20" t="s">
        <v>21</v>
      </c>
      <c r="H248" s="22" t="s">
        <v>369</v>
      </c>
      <c r="I248" s="23" t="s">
        <v>303</v>
      </c>
      <c r="J248" s="24" t="s">
        <v>970</v>
      </c>
      <c r="K248" s="25">
        <f t="shared" si="19"/>
        <v>45835</v>
      </c>
      <c r="L248" s="26" t="str">
        <f t="shared" si="20"/>
        <v>Jun 25</v>
      </c>
      <c r="M248" s="26" t="str">
        <f t="shared" si="21"/>
        <v>2025</v>
      </c>
      <c r="N248" s="23" t="s">
        <v>1165</v>
      </c>
      <c r="O248" s="25">
        <f t="shared" si="24"/>
        <v>45865</v>
      </c>
      <c r="P248" s="27">
        <f t="shared" si="22"/>
        <v>1</v>
      </c>
      <c r="Q248" s="27">
        <f t="shared" si="23"/>
        <v>0</v>
      </c>
      <c r="R248" s="28" t="s">
        <v>1166</v>
      </c>
      <c r="S248" s="21">
        <v>55728.9</v>
      </c>
      <c r="T248" s="18" t="s">
        <v>23</v>
      </c>
      <c r="U248" s="14"/>
    </row>
    <row r="249" spans="1:21" x14ac:dyDescent="0.2">
      <c r="A249" s="17">
        <v>247</v>
      </c>
      <c r="B249" s="18" t="s">
        <v>810</v>
      </c>
      <c r="C249" s="19" t="s">
        <v>1167</v>
      </c>
      <c r="D249" s="20" t="s">
        <v>1168</v>
      </c>
      <c r="E249" s="21">
        <v>160000</v>
      </c>
      <c r="F249" s="20" t="s">
        <v>21</v>
      </c>
      <c r="G249" s="20" t="s">
        <v>21</v>
      </c>
      <c r="H249" s="22" t="s">
        <v>140</v>
      </c>
      <c r="I249" s="23" t="s">
        <v>141</v>
      </c>
      <c r="J249" s="24" t="s">
        <v>1169</v>
      </c>
      <c r="K249" s="25">
        <f t="shared" si="19"/>
        <v>45844</v>
      </c>
      <c r="L249" s="26" t="str">
        <f t="shared" si="20"/>
        <v>Jul 25</v>
      </c>
      <c r="M249" s="26" t="str">
        <f t="shared" si="21"/>
        <v>2025</v>
      </c>
      <c r="N249" s="23" t="s">
        <v>1170</v>
      </c>
      <c r="O249" s="25">
        <f t="shared" si="24"/>
        <v>45880</v>
      </c>
      <c r="P249" s="27">
        <f t="shared" si="22"/>
        <v>1</v>
      </c>
      <c r="Q249" s="27">
        <f t="shared" si="23"/>
        <v>0</v>
      </c>
      <c r="R249" s="28" t="s">
        <v>22</v>
      </c>
      <c r="S249" s="21">
        <v>2300</v>
      </c>
      <c r="T249" s="18" t="s">
        <v>23</v>
      </c>
      <c r="U249" s="14"/>
    </row>
    <row r="250" spans="1:21" x14ac:dyDescent="0.2">
      <c r="A250" s="17">
        <v>248</v>
      </c>
      <c r="B250" s="18" t="s">
        <v>1171</v>
      </c>
      <c r="C250" s="19" t="s">
        <v>1172</v>
      </c>
      <c r="D250" s="20" t="s">
        <v>1173</v>
      </c>
      <c r="E250" s="21">
        <v>60000</v>
      </c>
      <c r="F250" s="20" t="s">
        <v>1174</v>
      </c>
      <c r="G250" s="20" t="s">
        <v>21</v>
      </c>
      <c r="H250" s="22" t="s">
        <v>140</v>
      </c>
      <c r="I250" s="23" t="s">
        <v>141</v>
      </c>
      <c r="J250" s="24" t="s">
        <v>786</v>
      </c>
      <c r="K250" s="25">
        <f t="shared" si="19"/>
        <v>45845</v>
      </c>
      <c r="L250" s="26" t="str">
        <f t="shared" si="20"/>
        <v>Jul 25</v>
      </c>
      <c r="M250" s="26" t="str">
        <f t="shared" si="21"/>
        <v>2025</v>
      </c>
      <c r="N250" s="23" t="s">
        <v>1175</v>
      </c>
      <c r="O250" s="25">
        <f t="shared" si="24"/>
        <v>45856</v>
      </c>
      <c r="P250" s="27">
        <f t="shared" si="22"/>
        <v>0</v>
      </c>
      <c r="Q250" s="27">
        <f t="shared" si="23"/>
        <v>0</v>
      </c>
      <c r="R250" s="28" t="s">
        <v>1176</v>
      </c>
      <c r="S250" s="21">
        <v>61653</v>
      </c>
      <c r="T250" s="18" t="s">
        <v>23</v>
      </c>
      <c r="U250" s="14"/>
    </row>
    <row r="251" spans="1:21" x14ac:dyDescent="0.2">
      <c r="A251" s="17">
        <v>249</v>
      </c>
      <c r="B251" s="18" t="s">
        <v>1177</v>
      </c>
      <c r="C251" s="19" t="s">
        <v>1178</v>
      </c>
      <c r="D251" s="20" t="s">
        <v>1179</v>
      </c>
      <c r="E251" s="21">
        <v>210000</v>
      </c>
      <c r="F251" s="20" t="s">
        <v>21</v>
      </c>
      <c r="G251" s="20" t="s">
        <v>21</v>
      </c>
      <c r="H251" s="22" t="s">
        <v>664</v>
      </c>
      <c r="I251" s="23" t="s">
        <v>141</v>
      </c>
      <c r="J251" s="24" t="s">
        <v>99</v>
      </c>
      <c r="K251" s="25">
        <f t="shared" si="19"/>
        <v>45677</v>
      </c>
      <c r="L251" s="26" t="str">
        <f t="shared" si="20"/>
        <v>Jan 25</v>
      </c>
      <c r="M251" s="26" t="str">
        <f t="shared" si="21"/>
        <v>2025</v>
      </c>
      <c r="N251" s="23" t="s">
        <v>1180</v>
      </c>
      <c r="O251" s="25">
        <f t="shared" si="24"/>
        <v>45883</v>
      </c>
      <c r="P251" s="27">
        <f t="shared" si="22"/>
        <v>6</v>
      </c>
      <c r="Q251" s="27">
        <f t="shared" si="23"/>
        <v>0</v>
      </c>
      <c r="R251" s="28" t="s">
        <v>22</v>
      </c>
      <c r="S251" s="21">
        <v>9450</v>
      </c>
      <c r="T251" s="18" t="s">
        <v>23</v>
      </c>
      <c r="U251" s="14"/>
    </row>
    <row r="252" spans="1:21" x14ac:dyDescent="0.2">
      <c r="A252" s="17">
        <v>250</v>
      </c>
      <c r="B252" s="18" t="s">
        <v>1181</v>
      </c>
      <c r="C252" s="19" t="s">
        <v>1182</v>
      </c>
      <c r="D252" s="20" t="s">
        <v>1183</v>
      </c>
      <c r="E252" s="21">
        <v>60000</v>
      </c>
      <c r="F252" s="20" t="s">
        <v>21</v>
      </c>
      <c r="G252" s="20" t="s">
        <v>21</v>
      </c>
      <c r="H252" s="22" t="s">
        <v>611</v>
      </c>
      <c r="I252" s="23">
        <v>3103.2026000000001</v>
      </c>
      <c r="J252" s="24" t="s">
        <v>1145</v>
      </c>
      <c r="K252" s="25">
        <f t="shared" si="19"/>
        <v>45877</v>
      </c>
      <c r="L252" s="26" t="str">
        <f t="shared" si="20"/>
        <v>Aug 25</v>
      </c>
      <c r="M252" s="26" t="str">
        <f t="shared" si="21"/>
        <v>2025</v>
      </c>
      <c r="N252" s="23" t="s">
        <v>1184</v>
      </c>
      <c r="O252" s="25">
        <f t="shared" si="24"/>
        <v>45881</v>
      </c>
      <c r="P252" s="27">
        <f t="shared" si="22"/>
        <v>0</v>
      </c>
      <c r="Q252" s="27">
        <f t="shared" si="23"/>
        <v>0</v>
      </c>
      <c r="R252" s="28" t="s">
        <v>22</v>
      </c>
      <c r="S252" s="21">
        <v>10962</v>
      </c>
      <c r="T252" s="18" t="s">
        <v>23</v>
      </c>
      <c r="U252" s="14"/>
    </row>
    <row r="253" spans="1:21" x14ac:dyDescent="0.2">
      <c r="A253" s="17">
        <v>251</v>
      </c>
      <c r="B253" s="18" t="s">
        <v>1185</v>
      </c>
      <c r="C253" s="19" t="s">
        <v>1186</v>
      </c>
      <c r="D253" s="20" t="s">
        <v>1187</v>
      </c>
      <c r="E253" s="21">
        <v>80000</v>
      </c>
      <c r="F253" s="20" t="s">
        <v>1188</v>
      </c>
      <c r="G253" s="20" t="s">
        <v>21</v>
      </c>
      <c r="H253" s="22" t="s">
        <v>27</v>
      </c>
      <c r="I253" s="23" t="s">
        <v>34</v>
      </c>
      <c r="J253" s="24" t="s">
        <v>1189</v>
      </c>
      <c r="K253" s="25">
        <f t="shared" si="19"/>
        <v>45863</v>
      </c>
      <c r="L253" s="26" t="str">
        <f t="shared" si="20"/>
        <v>Jul 25</v>
      </c>
      <c r="M253" s="26" t="str">
        <f t="shared" si="21"/>
        <v>2025</v>
      </c>
      <c r="N253" s="23" t="s">
        <v>1190</v>
      </c>
      <c r="O253" s="25">
        <f t="shared" si="24"/>
        <v>45882</v>
      </c>
      <c r="P253" s="27">
        <f t="shared" si="22"/>
        <v>0</v>
      </c>
      <c r="Q253" s="27">
        <f t="shared" si="23"/>
        <v>0</v>
      </c>
      <c r="R253" s="28" t="s">
        <v>22</v>
      </c>
      <c r="S253" s="21">
        <v>10440</v>
      </c>
      <c r="T253" s="18" t="s">
        <v>23</v>
      </c>
      <c r="U253" s="14"/>
    </row>
    <row r="254" spans="1:21" x14ac:dyDescent="0.2">
      <c r="A254" s="17">
        <v>252</v>
      </c>
      <c r="B254" s="18" t="s">
        <v>1191</v>
      </c>
      <c r="C254" s="19" t="s">
        <v>1192</v>
      </c>
      <c r="D254" s="20" t="s">
        <v>1193</v>
      </c>
      <c r="E254" s="21">
        <v>60000</v>
      </c>
      <c r="F254" s="20" t="s">
        <v>21</v>
      </c>
      <c r="G254" s="20" t="s">
        <v>21</v>
      </c>
      <c r="H254" s="22" t="s">
        <v>303</v>
      </c>
      <c r="I254" s="23" t="s">
        <v>620</v>
      </c>
      <c r="J254" s="24" t="s">
        <v>989</v>
      </c>
      <c r="K254" s="25">
        <f t="shared" si="19"/>
        <v>45829</v>
      </c>
      <c r="L254" s="26" t="str">
        <f t="shared" si="20"/>
        <v>Jun 25</v>
      </c>
      <c r="M254" s="26" t="str">
        <f t="shared" si="21"/>
        <v>2025</v>
      </c>
      <c r="N254" s="23" t="s">
        <v>1145</v>
      </c>
      <c r="O254" s="25">
        <f t="shared" si="24"/>
        <v>45877</v>
      </c>
      <c r="P254" s="27">
        <f t="shared" si="22"/>
        <v>1</v>
      </c>
      <c r="Q254" s="27">
        <f t="shared" si="23"/>
        <v>0</v>
      </c>
      <c r="R254" s="28" t="s">
        <v>22</v>
      </c>
      <c r="S254" s="21">
        <v>12960</v>
      </c>
      <c r="T254" s="18" t="s">
        <v>23</v>
      </c>
      <c r="U254" s="14"/>
    </row>
    <row r="255" spans="1:21" x14ac:dyDescent="0.2">
      <c r="A255" s="17">
        <v>253</v>
      </c>
      <c r="B255" s="18" t="s">
        <v>1194</v>
      </c>
      <c r="C255" s="19" t="s">
        <v>1195</v>
      </c>
      <c r="D255" s="20" t="s">
        <v>1196</v>
      </c>
      <c r="E255" s="21">
        <v>80000</v>
      </c>
      <c r="F255" s="20" t="s">
        <v>21</v>
      </c>
      <c r="G255" s="20" t="s">
        <v>21</v>
      </c>
      <c r="H255" s="22" t="s">
        <v>369</v>
      </c>
      <c r="I255" s="23" t="s">
        <v>620</v>
      </c>
      <c r="J255" s="24" t="s">
        <v>1114</v>
      </c>
      <c r="K255" s="25">
        <f t="shared" si="19"/>
        <v>45868</v>
      </c>
      <c r="L255" s="26" t="str">
        <f t="shared" si="20"/>
        <v>Jul 25</v>
      </c>
      <c r="M255" s="26" t="str">
        <f t="shared" si="21"/>
        <v>2025</v>
      </c>
      <c r="N255" s="23" t="s">
        <v>1197</v>
      </c>
      <c r="O255" s="25">
        <f t="shared" si="24"/>
        <v>45884</v>
      </c>
      <c r="P255" s="27">
        <f t="shared" si="22"/>
        <v>0</v>
      </c>
      <c r="Q255" s="27">
        <f t="shared" si="23"/>
        <v>0</v>
      </c>
      <c r="R255" s="28" t="s">
        <v>22</v>
      </c>
      <c r="S255" s="21">
        <v>17236.439999999999</v>
      </c>
      <c r="T255" s="18" t="s">
        <v>23</v>
      </c>
      <c r="U255" s="14"/>
    </row>
    <row r="256" spans="1:21" x14ac:dyDescent="0.2">
      <c r="A256" s="17">
        <v>254</v>
      </c>
      <c r="B256" s="18" t="s">
        <v>1198</v>
      </c>
      <c r="C256" s="19" t="s">
        <v>1199</v>
      </c>
      <c r="D256" s="20" t="s">
        <v>1200</v>
      </c>
      <c r="E256" s="21">
        <v>90000</v>
      </c>
      <c r="F256" s="20" t="s">
        <v>21</v>
      </c>
      <c r="G256" s="20" t="s">
        <v>21</v>
      </c>
      <c r="H256" s="22" t="s">
        <v>1201</v>
      </c>
      <c r="I256" s="23" t="s">
        <v>1202</v>
      </c>
      <c r="J256" s="24" t="s">
        <v>1189</v>
      </c>
      <c r="K256" s="25">
        <f t="shared" si="19"/>
        <v>45863</v>
      </c>
      <c r="L256" s="26" t="str">
        <f t="shared" si="20"/>
        <v>Jul 25</v>
      </c>
      <c r="M256" s="26" t="str">
        <f t="shared" si="21"/>
        <v>2025</v>
      </c>
      <c r="N256" s="23" t="s">
        <v>1129</v>
      </c>
      <c r="O256" s="25">
        <f t="shared" si="24"/>
        <v>45888</v>
      </c>
      <c r="P256" s="27">
        <f t="shared" si="22"/>
        <v>0</v>
      </c>
      <c r="Q256" s="27">
        <f t="shared" si="23"/>
        <v>0</v>
      </c>
      <c r="R256" s="28" t="s">
        <v>22</v>
      </c>
      <c r="S256" s="21">
        <v>3915</v>
      </c>
      <c r="T256" s="18" t="s">
        <v>23</v>
      </c>
      <c r="U256" s="14"/>
    </row>
    <row r="257" spans="1:21" x14ac:dyDescent="0.2">
      <c r="A257" s="17">
        <v>255</v>
      </c>
      <c r="B257" s="18" t="s">
        <v>1203</v>
      </c>
      <c r="C257" s="19" t="s">
        <v>1204</v>
      </c>
      <c r="D257" s="20" t="s">
        <v>1205</v>
      </c>
      <c r="E257" s="21">
        <v>40000</v>
      </c>
      <c r="F257" s="20" t="s">
        <v>1206</v>
      </c>
      <c r="G257" s="20" t="s">
        <v>21</v>
      </c>
      <c r="H257" s="22" t="s">
        <v>140</v>
      </c>
      <c r="I257" s="23" t="s">
        <v>141</v>
      </c>
      <c r="J257" s="24" t="s">
        <v>1207</v>
      </c>
      <c r="K257" s="25">
        <f t="shared" si="19"/>
        <v>218</v>
      </c>
      <c r="L257" s="26" t="str">
        <f t="shared" si="20"/>
        <v>Aug 00</v>
      </c>
      <c r="M257" s="26" t="str">
        <f t="shared" si="21"/>
        <v>1900</v>
      </c>
      <c r="N257" s="23" t="s">
        <v>1155</v>
      </c>
      <c r="O257" s="25">
        <f t="shared" si="24"/>
        <v>45887</v>
      </c>
      <c r="P257" s="27">
        <f t="shared" si="22"/>
        <v>1500</v>
      </c>
      <c r="Q257" s="27">
        <f t="shared" si="23"/>
        <v>125</v>
      </c>
      <c r="R257" s="28" t="s">
        <v>22</v>
      </c>
      <c r="S257" s="21">
        <v>15588</v>
      </c>
      <c r="T257" s="18" t="s">
        <v>23</v>
      </c>
      <c r="U257" s="14"/>
    </row>
    <row r="258" spans="1:21" x14ac:dyDescent="0.2">
      <c r="A258" s="17">
        <v>256</v>
      </c>
      <c r="B258" s="18" t="s">
        <v>82</v>
      </c>
      <c r="C258" s="19" t="s">
        <v>1208</v>
      </c>
      <c r="D258" s="20" t="s">
        <v>1209</v>
      </c>
      <c r="E258" s="21">
        <v>50000</v>
      </c>
      <c r="F258" s="20" t="s">
        <v>1210</v>
      </c>
      <c r="G258" s="20" t="s">
        <v>21</v>
      </c>
      <c r="H258" s="22" t="s">
        <v>110</v>
      </c>
      <c r="I258" s="23" t="s">
        <v>111</v>
      </c>
      <c r="J258" s="24" t="s">
        <v>1211</v>
      </c>
      <c r="K258" s="25">
        <f t="shared" si="19"/>
        <v>45871</v>
      </c>
      <c r="L258" s="26" t="str">
        <f t="shared" si="20"/>
        <v>Aug 25</v>
      </c>
      <c r="M258" s="26" t="str">
        <f t="shared" si="21"/>
        <v>2025</v>
      </c>
      <c r="N258" s="23" t="s">
        <v>1180</v>
      </c>
      <c r="O258" s="25">
        <f t="shared" si="24"/>
        <v>45883</v>
      </c>
      <c r="P258" s="27">
        <f t="shared" si="22"/>
        <v>0</v>
      </c>
      <c r="Q258" s="27">
        <f t="shared" si="23"/>
        <v>0</v>
      </c>
      <c r="R258" s="28" t="s">
        <v>22</v>
      </c>
      <c r="S258" s="21">
        <v>26280</v>
      </c>
      <c r="T258" s="18" t="s">
        <v>23</v>
      </c>
      <c r="U258" s="14"/>
    </row>
    <row r="259" spans="1:21" x14ac:dyDescent="0.2">
      <c r="A259" s="17">
        <v>257</v>
      </c>
      <c r="B259" s="18" t="s">
        <v>1212</v>
      </c>
      <c r="C259" s="19" t="s">
        <v>1213</v>
      </c>
      <c r="D259" s="20" t="s">
        <v>1214</v>
      </c>
      <c r="E259" s="21">
        <v>75000</v>
      </c>
      <c r="F259" s="20" t="s">
        <v>21</v>
      </c>
      <c r="G259" s="20" t="s">
        <v>21</v>
      </c>
      <c r="H259" s="22" t="s">
        <v>110</v>
      </c>
      <c r="I259" s="23" t="s">
        <v>111</v>
      </c>
      <c r="J259" s="24" t="s">
        <v>1189</v>
      </c>
      <c r="K259" s="25">
        <f t="shared" si="19"/>
        <v>45863</v>
      </c>
      <c r="L259" s="26" t="str">
        <f t="shared" si="20"/>
        <v>Jul 25</v>
      </c>
      <c r="M259" s="26" t="str">
        <f t="shared" si="21"/>
        <v>2025</v>
      </c>
      <c r="N259" s="23" t="s">
        <v>1129</v>
      </c>
      <c r="O259" s="25">
        <f t="shared" si="24"/>
        <v>45888</v>
      </c>
      <c r="P259" s="27">
        <f t="shared" si="22"/>
        <v>0</v>
      </c>
      <c r="Q259" s="27">
        <f t="shared" si="23"/>
        <v>0</v>
      </c>
      <c r="R259" s="28" t="s">
        <v>22</v>
      </c>
      <c r="S259" s="21">
        <v>22968</v>
      </c>
      <c r="T259" s="18" t="s">
        <v>23</v>
      </c>
      <c r="U259" s="14"/>
    </row>
    <row r="260" spans="1:21" x14ac:dyDescent="0.2">
      <c r="A260" s="17">
        <v>258</v>
      </c>
      <c r="B260" s="18" t="s">
        <v>1215</v>
      </c>
      <c r="C260" s="19" t="s">
        <v>1216</v>
      </c>
      <c r="D260" s="20" t="s">
        <v>1217</v>
      </c>
      <c r="E260" s="21">
        <v>120000</v>
      </c>
      <c r="F260" s="20" t="s">
        <v>1218</v>
      </c>
      <c r="G260" s="20" t="s">
        <v>21</v>
      </c>
      <c r="H260" s="22" t="s">
        <v>140</v>
      </c>
      <c r="I260" s="23" t="s">
        <v>141</v>
      </c>
      <c r="J260" s="24" t="s">
        <v>1219</v>
      </c>
      <c r="K260" s="25">
        <f t="shared" ref="K260:K323" si="25">DATE(RIGHT(J260,4),MID(J260,4,2),LEFT(J260,2))</f>
        <v>45876</v>
      </c>
      <c r="L260" s="26" t="str">
        <f t="shared" ref="L260:L323" si="26">TEXT(K260,"MMM YY")</f>
        <v>Aug 25</v>
      </c>
      <c r="M260" s="26" t="str">
        <f t="shared" ref="M260:M323" si="27">TEXT(K260,"yyyy")</f>
        <v>2025</v>
      </c>
      <c r="N260" s="23" t="s">
        <v>1220</v>
      </c>
      <c r="O260" s="25">
        <f t="shared" si="24"/>
        <v>45889</v>
      </c>
      <c r="P260" s="27">
        <f t="shared" ref="P260:P323" si="28">DATEDIF(K260,O260,"M")</f>
        <v>0</v>
      </c>
      <c r="Q260" s="27">
        <f t="shared" ref="Q260:Q323" si="29">YEAR(O260)-YEAR(K260)</f>
        <v>0</v>
      </c>
      <c r="R260" s="28" t="s">
        <v>65</v>
      </c>
      <c r="S260" s="21">
        <v>18792</v>
      </c>
      <c r="T260" s="18" t="s">
        <v>23</v>
      </c>
      <c r="U260" s="14"/>
    </row>
    <row r="261" spans="1:21" x14ac:dyDescent="0.2">
      <c r="A261" s="17">
        <v>259</v>
      </c>
      <c r="B261" s="18" t="s">
        <v>1221</v>
      </c>
      <c r="C261" s="19" t="s">
        <v>1222</v>
      </c>
      <c r="D261" s="20" t="s">
        <v>1223</v>
      </c>
      <c r="E261" s="21">
        <v>350000</v>
      </c>
      <c r="F261" s="20" t="s">
        <v>21</v>
      </c>
      <c r="G261" s="20" t="s">
        <v>21</v>
      </c>
      <c r="H261" s="22" t="s">
        <v>128</v>
      </c>
      <c r="I261" s="23" t="s">
        <v>718</v>
      </c>
      <c r="J261" s="24" t="s">
        <v>1154</v>
      </c>
      <c r="K261" s="25">
        <f t="shared" si="25"/>
        <v>45873</v>
      </c>
      <c r="L261" s="26" t="str">
        <f t="shared" si="26"/>
        <v>Aug 25</v>
      </c>
      <c r="M261" s="26" t="str">
        <f t="shared" si="27"/>
        <v>2025</v>
      </c>
      <c r="N261" s="23" t="s">
        <v>1220</v>
      </c>
      <c r="O261" s="25">
        <f t="shared" si="24"/>
        <v>45889</v>
      </c>
      <c r="P261" s="27">
        <f t="shared" si="28"/>
        <v>0</v>
      </c>
      <c r="Q261" s="27">
        <f t="shared" si="29"/>
        <v>0</v>
      </c>
      <c r="R261" s="28" t="s">
        <v>22</v>
      </c>
      <c r="S261" s="21">
        <v>112530.15</v>
      </c>
      <c r="T261" s="18" t="s">
        <v>23</v>
      </c>
      <c r="U261" s="14"/>
    </row>
    <row r="262" spans="1:21" x14ac:dyDescent="0.2">
      <c r="A262" s="17">
        <v>260</v>
      </c>
      <c r="B262" s="18" t="s">
        <v>1224</v>
      </c>
      <c r="C262" s="19" t="s">
        <v>1225</v>
      </c>
      <c r="D262" s="20" t="s">
        <v>1226</v>
      </c>
      <c r="E262" s="21">
        <v>150000</v>
      </c>
      <c r="F262" s="20" t="s">
        <v>21</v>
      </c>
      <c r="G262" s="20" t="s">
        <v>21</v>
      </c>
      <c r="H262" s="22" t="s">
        <v>1227</v>
      </c>
      <c r="I262" s="23" t="s">
        <v>1228</v>
      </c>
      <c r="J262" s="24" t="s">
        <v>1229</v>
      </c>
      <c r="K262" s="25">
        <f t="shared" si="25"/>
        <v>45385</v>
      </c>
      <c r="L262" s="26" t="str">
        <f t="shared" si="26"/>
        <v>Apr 24</v>
      </c>
      <c r="M262" s="26" t="str">
        <f t="shared" si="27"/>
        <v>2024</v>
      </c>
      <c r="N262" s="23" t="s">
        <v>97</v>
      </c>
      <c r="O262" s="25">
        <f t="shared" si="24"/>
        <v>45796</v>
      </c>
      <c r="P262" s="27">
        <f t="shared" si="28"/>
        <v>13</v>
      </c>
      <c r="Q262" s="27">
        <f t="shared" si="29"/>
        <v>1</v>
      </c>
      <c r="R262" s="28" t="s">
        <v>22</v>
      </c>
      <c r="S262" s="21">
        <v>30729.24</v>
      </c>
      <c r="T262" s="18" t="s">
        <v>23</v>
      </c>
      <c r="U262" s="14"/>
    </row>
    <row r="263" spans="1:21" x14ac:dyDescent="0.2">
      <c r="A263" s="17">
        <v>261</v>
      </c>
      <c r="B263" s="18" t="s">
        <v>1230</v>
      </c>
      <c r="C263" s="19" t="s">
        <v>1231</v>
      </c>
      <c r="D263" s="20" t="s">
        <v>1232</v>
      </c>
      <c r="E263" s="21">
        <v>150000</v>
      </c>
      <c r="F263" s="20" t="s">
        <v>21</v>
      </c>
      <c r="G263" s="20" t="s">
        <v>21</v>
      </c>
      <c r="H263" s="22" t="s">
        <v>152</v>
      </c>
      <c r="I263" s="23" t="s">
        <v>510</v>
      </c>
      <c r="J263" s="24" t="s">
        <v>1102</v>
      </c>
      <c r="K263" s="25">
        <f t="shared" si="25"/>
        <v>46008</v>
      </c>
      <c r="L263" s="26" t="str">
        <f t="shared" si="26"/>
        <v>Dec 25</v>
      </c>
      <c r="M263" s="26" t="str">
        <f t="shared" si="27"/>
        <v>2025</v>
      </c>
      <c r="N263" s="23" t="s">
        <v>281</v>
      </c>
      <c r="O263" s="25">
        <f t="shared" si="24"/>
        <v>45870</v>
      </c>
      <c r="P263" s="27" t="e">
        <f t="shared" si="28"/>
        <v>#NUM!</v>
      </c>
      <c r="Q263" s="27">
        <f t="shared" si="29"/>
        <v>0</v>
      </c>
      <c r="R263" s="28" t="s">
        <v>22</v>
      </c>
      <c r="S263" s="21">
        <v>10980</v>
      </c>
      <c r="T263" s="18" t="s">
        <v>23</v>
      </c>
      <c r="U263" s="14"/>
    </row>
    <row r="264" spans="1:21" x14ac:dyDescent="0.2">
      <c r="A264" s="17">
        <v>262</v>
      </c>
      <c r="B264" s="18" t="s">
        <v>1233</v>
      </c>
      <c r="C264" s="19" t="s">
        <v>1234</v>
      </c>
      <c r="D264" s="20" t="s">
        <v>1235</v>
      </c>
      <c r="E264" s="21">
        <v>300000</v>
      </c>
      <c r="F264" s="20" t="s">
        <v>1236</v>
      </c>
      <c r="G264" s="20" t="s">
        <v>21</v>
      </c>
      <c r="H264" s="22" t="s">
        <v>1237</v>
      </c>
      <c r="I264" s="23" t="s">
        <v>1238</v>
      </c>
      <c r="J264" s="24" t="s">
        <v>1239</v>
      </c>
      <c r="K264" s="25">
        <f t="shared" si="25"/>
        <v>45875</v>
      </c>
      <c r="L264" s="26" t="str">
        <f t="shared" si="26"/>
        <v>Aug 25</v>
      </c>
      <c r="M264" s="26" t="str">
        <f t="shared" si="27"/>
        <v>2025</v>
      </c>
      <c r="N264" s="23" t="s">
        <v>1240</v>
      </c>
      <c r="O264" s="25">
        <f t="shared" si="24"/>
        <v>45891</v>
      </c>
      <c r="P264" s="27">
        <f t="shared" si="28"/>
        <v>0</v>
      </c>
      <c r="Q264" s="27">
        <f t="shared" si="29"/>
        <v>0</v>
      </c>
      <c r="R264" s="28" t="s">
        <v>22</v>
      </c>
      <c r="S264" s="21">
        <v>25920</v>
      </c>
      <c r="T264" s="18" t="s">
        <v>23</v>
      </c>
      <c r="U264" s="14"/>
    </row>
    <row r="265" spans="1:21" x14ac:dyDescent="0.2">
      <c r="A265" s="17">
        <v>263</v>
      </c>
      <c r="B265" s="18" t="s">
        <v>1241</v>
      </c>
      <c r="C265" s="19" t="s">
        <v>839</v>
      </c>
      <c r="D265" s="20" t="s">
        <v>1242</v>
      </c>
      <c r="E265" s="21">
        <v>39240</v>
      </c>
      <c r="F265" s="20" t="s">
        <v>21</v>
      </c>
      <c r="G265" s="20" t="s">
        <v>21</v>
      </c>
      <c r="H265" s="22" t="s">
        <v>1127</v>
      </c>
      <c r="I265" s="23" t="s">
        <v>1243</v>
      </c>
      <c r="J265" s="24" t="s">
        <v>1244</v>
      </c>
      <c r="K265" s="25">
        <f t="shared" si="25"/>
        <v>45872</v>
      </c>
      <c r="L265" s="26" t="str">
        <f t="shared" si="26"/>
        <v>Aug 25</v>
      </c>
      <c r="M265" s="26" t="str">
        <f t="shared" si="27"/>
        <v>2025</v>
      </c>
      <c r="N265" s="23" t="s">
        <v>1240</v>
      </c>
      <c r="O265" s="25">
        <f t="shared" si="24"/>
        <v>45891</v>
      </c>
      <c r="P265" s="27">
        <f t="shared" si="28"/>
        <v>0</v>
      </c>
      <c r="Q265" s="27">
        <f t="shared" si="29"/>
        <v>0</v>
      </c>
      <c r="R265" s="28" t="s">
        <v>22</v>
      </c>
      <c r="S265" s="21">
        <v>45093</v>
      </c>
      <c r="T265" s="18" t="s">
        <v>23</v>
      </c>
      <c r="U265" s="14"/>
    </row>
    <row r="266" spans="1:21" x14ac:dyDescent="0.2">
      <c r="A266" s="17">
        <v>264</v>
      </c>
      <c r="B266" s="18" t="s">
        <v>1245</v>
      </c>
      <c r="C266" s="19" t="s">
        <v>1246</v>
      </c>
      <c r="D266" s="20" t="s">
        <v>1247</v>
      </c>
      <c r="E266" s="21">
        <v>500000</v>
      </c>
      <c r="F266" s="20" t="s">
        <v>21</v>
      </c>
      <c r="G266" s="20" t="s">
        <v>21</v>
      </c>
      <c r="H266" s="22" t="s">
        <v>769</v>
      </c>
      <c r="I266" s="23" t="s">
        <v>1248</v>
      </c>
      <c r="J266" s="24" t="s">
        <v>865</v>
      </c>
      <c r="K266" s="25">
        <f t="shared" si="25"/>
        <v>45843</v>
      </c>
      <c r="L266" s="26" t="str">
        <f t="shared" si="26"/>
        <v>Jul 25</v>
      </c>
      <c r="M266" s="26" t="str">
        <f t="shared" si="27"/>
        <v>2025</v>
      </c>
      <c r="N266" s="23" t="s">
        <v>1129</v>
      </c>
      <c r="O266" s="25">
        <f t="shared" si="24"/>
        <v>45888</v>
      </c>
      <c r="P266" s="27">
        <f t="shared" si="28"/>
        <v>1</v>
      </c>
      <c r="Q266" s="27">
        <f t="shared" si="29"/>
        <v>0</v>
      </c>
      <c r="R266" s="28" t="s">
        <v>1249</v>
      </c>
      <c r="S266" s="21">
        <v>21600</v>
      </c>
      <c r="T266" s="18" t="s">
        <v>23</v>
      </c>
      <c r="U266" s="14"/>
    </row>
    <row r="267" spans="1:21" x14ac:dyDescent="0.2">
      <c r="A267" s="17">
        <v>265</v>
      </c>
      <c r="B267" s="18" t="s">
        <v>1250</v>
      </c>
      <c r="C267" s="19" t="s">
        <v>1251</v>
      </c>
      <c r="D267" s="20" t="s">
        <v>1252</v>
      </c>
      <c r="E267" s="21">
        <v>80000</v>
      </c>
      <c r="F267" s="20" t="s">
        <v>21</v>
      </c>
      <c r="G267" s="20" t="s">
        <v>21</v>
      </c>
      <c r="H267" s="22" t="s">
        <v>437</v>
      </c>
      <c r="I267" s="23" t="s">
        <v>423</v>
      </c>
      <c r="J267" s="24" t="s">
        <v>1056</v>
      </c>
      <c r="K267" s="25">
        <f t="shared" si="25"/>
        <v>45847</v>
      </c>
      <c r="L267" s="26" t="str">
        <f t="shared" si="26"/>
        <v>Jul 25</v>
      </c>
      <c r="M267" s="26" t="str">
        <f t="shared" si="27"/>
        <v>2025</v>
      </c>
      <c r="N267" s="23" t="s">
        <v>54</v>
      </c>
      <c r="O267" s="25">
        <f t="shared" si="24"/>
        <v>45896</v>
      </c>
      <c r="P267" s="27">
        <f t="shared" si="28"/>
        <v>1</v>
      </c>
      <c r="Q267" s="27">
        <f t="shared" si="29"/>
        <v>0</v>
      </c>
      <c r="R267" s="28" t="s">
        <v>22</v>
      </c>
      <c r="S267" s="21">
        <v>2520</v>
      </c>
      <c r="T267" s="18" t="s">
        <v>23</v>
      </c>
      <c r="U267" s="14"/>
    </row>
    <row r="268" spans="1:21" x14ac:dyDescent="0.2">
      <c r="A268" s="17">
        <v>266</v>
      </c>
      <c r="B268" s="18" t="s">
        <v>1253</v>
      </c>
      <c r="C268" s="19" t="s">
        <v>1254</v>
      </c>
      <c r="D268" s="20" t="s">
        <v>1255</v>
      </c>
      <c r="E268" s="21">
        <v>65000</v>
      </c>
      <c r="F268" s="20" t="s">
        <v>1256</v>
      </c>
      <c r="G268" s="20" t="s">
        <v>21</v>
      </c>
      <c r="H268" s="22" t="s">
        <v>27</v>
      </c>
      <c r="I268" s="23" t="s">
        <v>28</v>
      </c>
      <c r="J268" s="24" t="s">
        <v>1257</v>
      </c>
      <c r="K268" s="25">
        <f t="shared" si="25"/>
        <v>221</v>
      </c>
      <c r="L268" s="26" t="str">
        <f t="shared" si="26"/>
        <v>Aug 00</v>
      </c>
      <c r="M268" s="26" t="str">
        <f t="shared" si="27"/>
        <v>1900</v>
      </c>
      <c r="N268" s="23" t="s">
        <v>70</v>
      </c>
      <c r="O268" s="25">
        <f t="shared" si="24"/>
        <v>45897</v>
      </c>
      <c r="P268" s="27">
        <f t="shared" si="28"/>
        <v>1500</v>
      </c>
      <c r="Q268" s="27">
        <f t="shared" si="29"/>
        <v>125</v>
      </c>
      <c r="R268" s="28" t="s">
        <v>22</v>
      </c>
      <c r="S268" s="21">
        <v>2364</v>
      </c>
      <c r="T268" s="18" t="s">
        <v>23</v>
      </c>
      <c r="U268" s="14"/>
    </row>
    <row r="269" spans="1:21" x14ac:dyDescent="0.2">
      <c r="A269" s="17">
        <v>267</v>
      </c>
      <c r="B269" s="18" t="s">
        <v>1258</v>
      </c>
      <c r="C269" s="19" t="s">
        <v>1259</v>
      </c>
      <c r="D269" s="20" t="s">
        <v>1260</v>
      </c>
      <c r="E269" s="21">
        <v>24600</v>
      </c>
      <c r="F269" s="20" t="s">
        <v>21</v>
      </c>
      <c r="G269" s="20" t="s">
        <v>21</v>
      </c>
      <c r="H269" s="22" t="s">
        <v>962</v>
      </c>
      <c r="I269" s="23" t="s">
        <v>34</v>
      </c>
      <c r="J269" s="24" t="s">
        <v>1184</v>
      </c>
      <c r="K269" s="25">
        <f t="shared" si="25"/>
        <v>45881</v>
      </c>
      <c r="L269" s="26" t="str">
        <f t="shared" si="26"/>
        <v>Aug 25</v>
      </c>
      <c r="M269" s="26" t="str">
        <f t="shared" si="27"/>
        <v>2025</v>
      </c>
      <c r="N269" s="23" t="s">
        <v>1261</v>
      </c>
      <c r="O269" s="25">
        <f t="shared" si="24"/>
        <v>45894</v>
      </c>
      <c r="P269" s="27">
        <f t="shared" si="28"/>
        <v>0</v>
      </c>
      <c r="Q269" s="27">
        <f t="shared" si="29"/>
        <v>0</v>
      </c>
      <c r="R269" s="28" t="s">
        <v>22</v>
      </c>
      <c r="S269" s="21">
        <v>12006</v>
      </c>
      <c r="T269" s="18" t="s">
        <v>23</v>
      </c>
      <c r="U269" s="14"/>
    </row>
    <row r="270" spans="1:21" x14ac:dyDescent="0.2">
      <c r="A270" s="17">
        <v>268</v>
      </c>
      <c r="B270" s="18" t="s">
        <v>1262</v>
      </c>
      <c r="C270" s="19" t="s">
        <v>1263</v>
      </c>
      <c r="D270" s="20" t="s">
        <v>1264</v>
      </c>
      <c r="E270" s="21">
        <v>300000</v>
      </c>
      <c r="F270" s="20" t="s">
        <v>21</v>
      </c>
      <c r="G270" s="20" t="s">
        <v>21</v>
      </c>
      <c r="H270" s="22" t="s">
        <v>846</v>
      </c>
      <c r="I270" s="23" t="s">
        <v>259</v>
      </c>
      <c r="J270" s="24" t="s">
        <v>1184</v>
      </c>
      <c r="K270" s="25">
        <f t="shared" si="25"/>
        <v>45881</v>
      </c>
      <c r="L270" s="26" t="str">
        <f t="shared" si="26"/>
        <v>Aug 25</v>
      </c>
      <c r="M270" s="26" t="str">
        <f t="shared" si="27"/>
        <v>2025</v>
      </c>
      <c r="N270" s="23" t="s">
        <v>70</v>
      </c>
      <c r="O270" s="25">
        <f t="shared" si="24"/>
        <v>45897</v>
      </c>
      <c r="P270" s="27">
        <f t="shared" si="28"/>
        <v>0</v>
      </c>
      <c r="Q270" s="27">
        <f t="shared" si="29"/>
        <v>0</v>
      </c>
      <c r="R270" s="28" t="s">
        <v>22</v>
      </c>
      <c r="S270" s="21">
        <v>40635</v>
      </c>
      <c r="T270" s="18" t="s">
        <v>23</v>
      </c>
      <c r="U270" s="14"/>
    </row>
    <row r="271" spans="1:21" x14ac:dyDescent="0.2">
      <c r="A271" s="17">
        <v>269</v>
      </c>
      <c r="B271" s="18" t="s">
        <v>1265</v>
      </c>
      <c r="C271" s="19" t="s">
        <v>1266</v>
      </c>
      <c r="D271" s="20" t="s">
        <v>1267</v>
      </c>
      <c r="E271" s="21">
        <v>200000</v>
      </c>
      <c r="F271" s="20" t="s">
        <v>21</v>
      </c>
      <c r="G271" s="20" t="s">
        <v>21</v>
      </c>
      <c r="H271" s="22" t="s">
        <v>199</v>
      </c>
      <c r="I271" s="23" t="s">
        <v>1268</v>
      </c>
      <c r="J271" s="24" t="s">
        <v>1269</v>
      </c>
      <c r="K271" s="25">
        <f t="shared" si="25"/>
        <v>45893</v>
      </c>
      <c r="L271" s="26" t="str">
        <f t="shared" si="26"/>
        <v>Aug 25</v>
      </c>
      <c r="M271" s="26" t="str">
        <f t="shared" si="27"/>
        <v>2025</v>
      </c>
      <c r="N271" s="23" t="s">
        <v>70</v>
      </c>
      <c r="O271" s="25">
        <f t="shared" si="24"/>
        <v>45897</v>
      </c>
      <c r="P271" s="27">
        <f t="shared" si="28"/>
        <v>0</v>
      </c>
      <c r="Q271" s="27">
        <f t="shared" si="29"/>
        <v>0</v>
      </c>
      <c r="R271" s="28" t="s">
        <v>22</v>
      </c>
      <c r="S271" s="21">
        <v>21600</v>
      </c>
      <c r="T271" s="18" t="s">
        <v>23</v>
      </c>
      <c r="U271" s="14"/>
    </row>
    <row r="272" spans="1:21" x14ac:dyDescent="0.2">
      <c r="A272" s="17">
        <v>270</v>
      </c>
      <c r="B272" s="18" t="s">
        <v>895</v>
      </c>
      <c r="C272" s="19" t="s">
        <v>1270</v>
      </c>
      <c r="D272" s="20" t="s">
        <v>1271</v>
      </c>
      <c r="E272" s="21">
        <v>350000</v>
      </c>
      <c r="F272" s="20" t="s">
        <v>21</v>
      </c>
      <c r="G272" s="20" t="s">
        <v>21</v>
      </c>
      <c r="H272" s="22" t="s">
        <v>140</v>
      </c>
      <c r="I272" s="23" t="s">
        <v>141</v>
      </c>
      <c r="J272" s="24" t="s">
        <v>1155</v>
      </c>
      <c r="K272" s="25">
        <f t="shared" si="25"/>
        <v>45887</v>
      </c>
      <c r="L272" s="26" t="str">
        <f t="shared" si="26"/>
        <v>Aug 25</v>
      </c>
      <c r="M272" s="26" t="str">
        <f t="shared" si="27"/>
        <v>2025</v>
      </c>
      <c r="N272" s="23" t="s">
        <v>1272</v>
      </c>
      <c r="O272" s="25">
        <f t="shared" si="24"/>
        <v>45904</v>
      </c>
      <c r="P272" s="27">
        <f t="shared" si="28"/>
        <v>0</v>
      </c>
      <c r="Q272" s="27">
        <f t="shared" si="29"/>
        <v>0</v>
      </c>
      <c r="R272" s="28" t="s">
        <v>65</v>
      </c>
      <c r="S272" s="21">
        <v>17820</v>
      </c>
      <c r="T272" s="18" t="s">
        <v>23</v>
      </c>
      <c r="U272" s="14"/>
    </row>
    <row r="273" spans="1:21" x14ac:dyDescent="0.2">
      <c r="A273" s="17">
        <v>271</v>
      </c>
      <c r="B273" s="18" t="s">
        <v>895</v>
      </c>
      <c r="C273" s="19" t="s">
        <v>1273</v>
      </c>
      <c r="D273" s="20" t="s">
        <v>1274</v>
      </c>
      <c r="E273" s="21">
        <v>300000</v>
      </c>
      <c r="F273" s="20" t="s">
        <v>21</v>
      </c>
      <c r="G273" s="20" t="s">
        <v>21</v>
      </c>
      <c r="H273" s="22" t="s">
        <v>140</v>
      </c>
      <c r="I273" s="23" t="s">
        <v>141</v>
      </c>
      <c r="J273" s="24" t="s">
        <v>1197</v>
      </c>
      <c r="K273" s="25">
        <f t="shared" si="25"/>
        <v>45884</v>
      </c>
      <c r="L273" s="26" t="str">
        <f t="shared" si="26"/>
        <v>Aug 25</v>
      </c>
      <c r="M273" s="26" t="str">
        <f t="shared" si="27"/>
        <v>2025</v>
      </c>
      <c r="N273" s="23" t="s">
        <v>1272</v>
      </c>
      <c r="O273" s="25">
        <f t="shared" si="24"/>
        <v>45904</v>
      </c>
      <c r="P273" s="27">
        <f t="shared" si="28"/>
        <v>0</v>
      </c>
      <c r="Q273" s="27">
        <f t="shared" si="29"/>
        <v>0</v>
      </c>
      <c r="R273" s="28" t="s">
        <v>22</v>
      </c>
      <c r="S273" s="21">
        <v>27000</v>
      </c>
      <c r="T273" s="18" t="s">
        <v>23</v>
      </c>
      <c r="U273" s="14"/>
    </row>
    <row r="274" spans="1:21" x14ac:dyDescent="0.2">
      <c r="A274" s="17">
        <v>272</v>
      </c>
      <c r="B274" s="18" t="s">
        <v>895</v>
      </c>
      <c r="C274" s="19" t="s">
        <v>1275</v>
      </c>
      <c r="D274" s="20" t="s">
        <v>1276</v>
      </c>
      <c r="E274" s="21">
        <v>2264602.27</v>
      </c>
      <c r="F274" s="20" t="s">
        <v>21</v>
      </c>
      <c r="G274" s="20" t="s">
        <v>21</v>
      </c>
      <c r="H274" s="22" t="s">
        <v>140</v>
      </c>
      <c r="I274" s="23" t="s">
        <v>141</v>
      </c>
      <c r="J274" s="24" t="s">
        <v>1075</v>
      </c>
      <c r="K274" s="25">
        <f t="shared" si="25"/>
        <v>45846</v>
      </c>
      <c r="L274" s="26" t="str">
        <f t="shared" si="26"/>
        <v>Jul 25</v>
      </c>
      <c r="M274" s="26" t="str">
        <f t="shared" si="27"/>
        <v>2025</v>
      </c>
      <c r="N274" s="23" t="s">
        <v>1272</v>
      </c>
      <c r="O274" s="25">
        <f t="shared" si="24"/>
        <v>45904</v>
      </c>
      <c r="P274" s="27">
        <f t="shared" si="28"/>
        <v>1</v>
      </c>
      <c r="Q274" s="27">
        <f t="shared" si="29"/>
        <v>0</v>
      </c>
      <c r="R274" s="28" t="s">
        <v>22</v>
      </c>
      <c r="S274" s="21">
        <v>24300</v>
      </c>
      <c r="T274" s="18" t="s">
        <v>23</v>
      </c>
      <c r="U274" s="14"/>
    </row>
    <row r="275" spans="1:21" x14ac:dyDescent="0.2">
      <c r="A275" s="17">
        <v>273</v>
      </c>
      <c r="B275" s="18" t="s">
        <v>1277</v>
      </c>
      <c r="C275" s="19" t="s">
        <v>1278</v>
      </c>
      <c r="D275" s="20" t="s">
        <v>1279</v>
      </c>
      <c r="E275" s="21">
        <v>80000</v>
      </c>
      <c r="F275" s="20" t="s">
        <v>1280</v>
      </c>
      <c r="G275" s="20" t="s">
        <v>21</v>
      </c>
      <c r="H275" s="22" t="s">
        <v>110</v>
      </c>
      <c r="I275" s="23" t="s">
        <v>111</v>
      </c>
      <c r="J275" s="24" t="s">
        <v>1114</v>
      </c>
      <c r="K275" s="25">
        <f t="shared" si="25"/>
        <v>45868</v>
      </c>
      <c r="L275" s="26" t="str">
        <f t="shared" si="26"/>
        <v>Jul 25</v>
      </c>
      <c r="M275" s="26" t="str">
        <f t="shared" si="27"/>
        <v>2025</v>
      </c>
      <c r="N275" s="23" t="s">
        <v>1281</v>
      </c>
      <c r="O275" s="25">
        <f t="shared" ref="O275:O338" si="30">DATE(RIGHT(N275,4),MID(N275,4,2),LEFT(N275,2))</f>
        <v>45902</v>
      </c>
      <c r="P275" s="27">
        <f t="shared" si="28"/>
        <v>1</v>
      </c>
      <c r="Q275" s="27">
        <f t="shared" si="29"/>
        <v>0</v>
      </c>
      <c r="R275" s="28" t="s">
        <v>22</v>
      </c>
      <c r="S275" s="21">
        <v>24876</v>
      </c>
      <c r="T275" s="18" t="s">
        <v>23</v>
      </c>
      <c r="U275" s="14"/>
    </row>
    <row r="276" spans="1:21" x14ac:dyDescent="0.2">
      <c r="A276" s="17">
        <v>274</v>
      </c>
      <c r="B276" s="18" t="s">
        <v>220</v>
      </c>
      <c r="C276" s="19" t="s">
        <v>1282</v>
      </c>
      <c r="D276" s="20" t="s">
        <v>1283</v>
      </c>
      <c r="E276" s="21">
        <v>400000</v>
      </c>
      <c r="F276" s="20" t="s">
        <v>21</v>
      </c>
      <c r="G276" s="20" t="s">
        <v>21</v>
      </c>
      <c r="H276" s="22" t="s">
        <v>135</v>
      </c>
      <c r="I276" s="23" t="s">
        <v>635</v>
      </c>
      <c r="J276" s="24" t="s">
        <v>1284</v>
      </c>
      <c r="K276" s="25">
        <f t="shared" si="25"/>
        <v>45866</v>
      </c>
      <c r="L276" s="26" t="str">
        <f t="shared" si="26"/>
        <v>Jul 25</v>
      </c>
      <c r="M276" s="26" t="str">
        <f t="shared" si="27"/>
        <v>2025</v>
      </c>
      <c r="N276" s="23" t="s">
        <v>1272</v>
      </c>
      <c r="O276" s="25">
        <f t="shared" si="30"/>
        <v>45904</v>
      </c>
      <c r="P276" s="27">
        <f t="shared" si="28"/>
        <v>1</v>
      </c>
      <c r="Q276" s="27">
        <f t="shared" si="29"/>
        <v>0</v>
      </c>
      <c r="R276" s="28" t="s">
        <v>22</v>
      </c>
      <c r="S276" s="21">
        <v>3330</v>
      </c>
      <c r="T276" s="18" t="s">
        <v>23</v>
      </c>
      <c r="U276" s="14"/>
    </row>
    <row r="277" spans="1:21" x14ac:dyDescent="0.2">
      <c r="A277" s="17">
        <v>275</v>
      </c>
      <c r="B277" s="18" t="s">
        <v>220</v>
      </c>
      <c r="C277" s="19" t="s">
        <v>1282</v>
      </c>
      <c r="D277" s="20" t="s">
        <v>1283</v>
      </c>
      <c r="E277" s="21">
        <v>400000</v>
      </c>
      <c r="F277" s="20" t="s">
        <v>21</v>
      </c>
      <c r="G277" s="20" t="s">
        <v>21</v>
      </c>
      <c r="H277" s="22" t="s">
        <v>135</v>
      </c>
      <c r="I277" s="23" t="s">
        <v>635</v>
      </c>
      <c r="J277" s="24" t="s">
        <v>1284</v>
      </c>
      <c r="K277" s="25">
        <f t="shared" si="25"/>
        <v>45866</v>
      </c>
      <c r="L277" s="26" t="str">
        <f t="shared" si="26"/>
        <v>Jul 25</v>
      </c>
      <c r="M277" s="26" t="str">
        <f t="shared" si="27"/>
        <v>2025</v>
      </c>
      <c r="N277" s="23" t="s">
        <v>1272</v>
      </c>
      <c r="O277" s="25">
        <f t="shared" si="30"/>
        <v>45904</v>
      </c>
      <c r="P277" s="27">
        <f t="shared" si="28"/>
        <v>1</v>
      </c>
      <c r="Q277" s="27">
        <f t="shared" si="29"/>
        <v>0</v>
      </c>
      <c r="R277" s="28" t="s">
        <v>22</v>
      </c>
      <c r="S277" s="21">
        <v>3330</v>
      </c>
      <c r="T277" s="18" t="s">
        <v>23</v>
      </c>
      <c r="U277" s="14"/>
    </row>
    <row r="278" spans="1:21" x14ac:dyDescent="0.2">
      <c r="A278" s="17">
        <v>276</v>
      </c>
      <c r="B278" s="18" t="s">
        <v>1285</v>
      </c>
      <c r="C278" s="19" t="s">
        <v>1286</v>
      </c>
      <c r="D278" s="20" t="s">
        <v>1287</v>
      </c>
      <c r="E278" s="21">
        <v>130000</v>
      </c>
      <c r="F278" s="20" t="s">
        <v>1288</v>
      </c>
      <c r="G278" s="20" t="s">
        <v>21</v>
      </c>
      <c r="H278" s="22" t="s">
        <v>1289</v>
      </c>
      <c r="I278" s="23" t="s">
        <v>61</v>
      </c>
      <c r="J278" s="24" t="s">
        <v>1129</v>
      </c>
      <c r="K278" s="25">
        <f t="shared" si="25"/>
        <v>45888</v>
      </c>
      <c r="L278" s="26" t="str">
        <f t="shared" si="26"/>
        <v>Aug 25</v>
      </c>
      <c r="M278" s="26" t="str">
        <f t="shared" si="27"/>
        <v>2025</v>
      </c>
      <c r="N278" s="23" t="s">
        <v>1290</v>
      </c>
      <c r="O278" s="25">
        <f t="shared" si="30"/>
        <v>45903</v>
      </c>
      <c r="P278" s="27">
        <f t="shared" si="28"/>
        <v>0</v>
      </c>
      <c r="Q278" s="27">
        <f t="shared" si="29"/>
        <v>0</v>
      </c>
      <c r="R278" s="28" t="s">
        <v>22</v>
      </c>
      <c r="S278" s="21">
        <v>18846</v>
      </c>
      <c r="T278" s="18" t="s">
        <v>23</v>
      </c>
      <c r="U278" s="14"/>
    </row>
    <row r="279" spans="1:21" x14ac:dyDescent="0.2">
      <c r="A279" s="17">
        <v>277</v>
      </c>
      <c r="B279" s="18" t="s">
        <v>1291</v>
      </c>
      <c r="C279" s="19" t="s">
        <v>1292</v>
      </c>
      <c r="D279" s="20" t="s">
        <v>1293</v>
      </c>
      <c r="E279" s="21">
        <v>75000</v>
      </c>
      <c r="F279" s="20" t="s">
        <v>21</v>
      </c>
      <c r="G279" s="20" t="s">
        <v>21</v>
      </c>
      <c r="H279" s="22" t="s">
        <v>143</v>
      </c>
      <c r="I279" s="23">
        <v>3112.2024999999999</v>
      </c>
      <c r="J279" s="24" t="s">
        <v>1269</v>
      </c>
      <c r="K279" s="25">
        <f t="shared" si="25"/>
        <v>45893</v>
      </c>
      <c r="L279" s="26" t="str">
        <f t="shared" si="26"/>
        <v>Aug 25</v>
      </c>
      <c r="M279" s="26" t="str">
        <f t="shared" si="27"/>
        <v>2025</v>
      </c>
      <c r="N279" s="23" t="s">
        <v>1294</v>
      </c>
      <c r="O279" s="25">
        <f t="shared" si="30"/>
        <v>45898</v>
      </c>
      <c r="P279" s="27">
        <f t="shared" si="28"/>
        <v>0</v>
      </c>
      <c r="Q279" s="27">
        <f t="shared" si="29"/>
        <v>0</v>
      </c>
      <c r="R279" s="28" t="s">
        <v>22</v>
      </c>
      <c r="S279" s="21">
        <v>19620</v>
      </c>
      <c r="T279" s="18" t="s">
        <v>23</v>
      </c>
      <c r="U279" s="14"/>
    </row>
    <row r="280" spans="1:21" x14ac:dyDescent="0.2">
      <c r="A280" s="17">
        <v>278</v>
      </c>
      <c r="B280" s="18" t="s">
        <v>1295</v>
      </c>
      <c r="C280" s="19" t="s">
        <v>1296</v>
      </c>
      <c r="D280" s="20" t="s">
        <v>1297</v>
      </c>
      <c r="E280" s="21">
        <v>150000</v>
      </c>
      <c r="F280" s="20" t="s">
        <v>21</v>
      </c>
      <c r="G280" s="20" t="s">
        <v>21</v>
      </c>
      <c r="H280" s="22" t="s">
        <v>265</v>
      </c>
      <c r="I280" s="23" t="s">
        <v>1298</v>
      </c>
      <c r="J280" s="24">
        <v>2507.2024999999999</v>
      </c>
      <c r="K280" s="25">
        <f t="shared" si="25"/>
        <v>45863</v>
      </c>
      <c r="L280" s="26" t="str">
        <f t="shared" si="26"/>
        <v>Jul 25</v>
      </c>
      <c r="M280" s="26" t="str">
        <f t="shared" si="27"/>
        <v>2025</v>
      </c>
      <c r="N280" s="23" t="s">
        <v>1290</v>
      </c>
      <c r="O280" s="25">
        <f t="shared" si="30"/>
        <v>45903</v>
      </c>
      <c r="P280" s="27">
        <f t="shared" si="28"/>
        <v>1</v>
      </c>
      <c r="Q280" s="27">
        <f t="shared" si="29"/>
        <v>0</v>
      </c>
      <c r="R280" s="28" t="s">
        <v>22</v>
      </c>
      <c r="S280" s="21">
        <v>75000</v>
      </c>
      <c r="T280" s="18" t="s">
        <v>23</v>
      </c>
      <c r="U280" s="14"/>
    </row>
    <row r="281" spans="1:21" x14ac:dyDescent="0.2">
      <c r="A281" s="17">
        <v>279</v>
      </c>
      <c r="B281" s="18" t="s">
        <v>1299</v>
      </c>
      <c r="C281" s="19" t="s">
        <v>1300</v>
      </c>
      <c r="D281" s="20" t="s">
        <v>1301</v>
      </c>
      <c r="E281" s="21">
        <v>180000</v>
      </c>
      <c r="F281" s="20" t="s">
        <v>21</v>
      </c>
      <c r="G281" s="20" t="s">
        <v>21</v>
      </c>
      <c r="H281" s="22" t="s">
        <v>142</v>
      </c>
      <c r="I281" s="23" t="s">
        <v>718</v>
      </c>
      <c r="J281" s="24" t="s">
        <v>1302</v>
      </c>
      <c r="K281" s="25">
        <f t="shared" si="25"/>
        <v>45878</v>
      </c>
      <c r="L281" s="26" t="str">
        <f t="shared" si="26"/>
        <v>Aug 25</v>
      </c>
      <c r="M281" s="26" t="str">
        <f t="shared" si="27"/>
        <v>2025</v>
      </c>
      <c r="N281" s="23" t="s">
        <v>1290</v>
      </c>
      <c r="O281" s="25">
        <f t="shared" si="30"/>
        <v>45903</v>
      </c>
      <c r="P281" s="27">
        <f t="shared" si="28"/>
        <v>0</v>
      </c>
      <c r="Q281" s="27">
        <f t="shared" si="29"/>
        <v>0</v>
      </c>
      <c r="R281" s="28" t="s">
        <v>22</v>
      </c>
      <c r="S281" s="21">
        <v>13920</v>
      </c>
      <c r="T281" s="18" t="s">
        <v>23</v>
      </c>
      <c r="U281" s="14"/>
    </row>
    <row r="282" spans="1:21" x14ac:dyDescent="0.2">
      <c r="A282" s="17">
        <v>280</v>
      </c>
      <c r="B282" s="18" t="s">
        <v>1303</v>
      </c>
      <c r="C282" s="19" t="s">
        <v>1304</v>
      </c>
      <c r="D282" s="20" t="s">
        <v>1305</v>
      </c>
      <c r="E282" s="21">
        <v>110000</v>
      </c>
      <c r="F282" s="20" t="s">
        <v>1306</v>
      </c>
      <c r="G282" s="20" t="s">
        <v>21</v>
      </c>
      <c r="H282" s="22" t="s">
        <v>368</v>
      </c>
      <c r="I282" s="23" t="s">
        <v>369</v>
      </c>
      <c r="J282" s="24" t="s">
        <v>1307</v>
      </c>
      <c r="K282" s="25">
        <f t="shared" si="25"/>
        <v>45879</v>
      </c>
      <c r="L282" s="26" t="str">
        <f t="shared" si="26"/>
        <v>Aug 25</v>
      </c>
      <c r="M282" s="26" t="str">
        <f t="shared" si="27"/>
        <v>2025</v>
      </c>
      <c r="N282" s="23" t="s">
        <v>1197</v>
      </c>
      <c r="O282" s="25">
        <f t="shared" si="30"/>
        <v>45884</v>
      </c>
      <c r="P282" s="27">
        <f t="shared" si="28"/>
        <v>0</v>
      </c>
      <c r="Q282" s="27">
        <f t="shared" si="29"/>
        <v>0</v>
      </c>
      <c r="R282" s="28" t="s">
        <v>894</v>
      </c>
      <c r="S282" s="21">
        <v>22237</v>
      </c>
      <c r="T282" s="18" t="s">
        <v>23</v>
      </c>
      <c r="U282" s="14"/>
    </row>
    <row r="283" spans="1:21" x14ac:dyDescent="0.2">
      <c r="A283" s="17">
        <v>281</v>
      </c>
      <c r="B283" s="18" t="s">
        <v>1308</v>
      </c>
      <c r="C283" s="19" t="s">
        <v>1309</v>
      </c>
      <c r="D283" s="20" t="s">
        <v>1310</v>
      </c>
      <c r="E283" s="21">
        <v>260000</v>
      </c>
      <c r="F283" s="20" t="s">
        <v>21</v>
      </c>
      <c r="G283" s="20" t="s">
        <v>21</v>
      </c>
      <c r="H283" s="22" t="s">
        <v>1311</v>
      </c>
      <c r="I283" s="23" t="s">
        <v>1312</v>
      </c>
      <c r="J283" s="24" t="s">
        <v>1103</v>
      </c>
      <c r="K283" s="25">
        <f t="shared" si="25"/>
        <v>45858</v>
      </c>
      <c r="L283" s="26" t="str">
        <f t="shared" si="26"/>
        <v>Jul 25</v>
      </c>
      <c r="M283" s="26" t="str">
        <f t="shared" si="27"/>
        <v>2025</v>
      </c>
      <c r="N283" s="23" t="s">
        <v>1302</v>
      </c>
      <c r="O283" s="25">
        <f t="shared" si="30"/>
        <v>45878</v>
      </c>
      <c r="P283" s="27">
        <f t="shared" si="28"/>
        <v>0</v>
      </c>
      <c r="Q283" s="27">
        <f t="shared" si="29"/>
        <v>0</v>
      </c>
      <c r="R283" s="28" t="s">
        <v>22</v>
      </c>
      <c r="S283" s="21">
        <v>6670</v>
      </c>
      <c r="T283" s="18" t="s">
        <v>23</v>
      </c>
      <c r="U283" s="14"/>
    </row>
    <row r="284" spans="1:21" x14ac:dyDescent="0.2">
      <c r="A284" s="17">
        <v>282</v>
      </c>
      <c r="B284" s="18" t="s">
        <v>1313</v>
      </c>
      <c r="C284" s="19" t="s">
        <v>1314</v>
      </c>
      <c r="D284" s="20" t="s">
        <v>1315</v>
      </c>
      <c r="E284" s="21" t="s">
        <v>374</v>
      </c>
      <c r="F284" s="20" t="s">
        <v>1316</v>
      </c>
      <c r="G284" s="20" t="s">
        <v>21</v>
      </c>
      <c r="H284" s="22" t="s">
        <v>152</v>
      </c>
      <c r="I284" s="23" t="s">
        <v>1317</v>
      </c>
      <c r="J284" s="24" t="s">
        <v>1017</v>
      </c>
      <c r="K284" s="25">
        <f t="shared" si="25"/>
        <v>45901</v>
      </c>
      <c r="L284" s="26" t="str">
        <f t="shared" si="26"/>
        <v>Sep 25</v>
      </c>
      <c r="M284" s="26" t="str">
        <f t="shared" si="27"/>
        <v>2025</v>
      </c>
      <c r="N284" s="23" t="s">
        <v>1281</v>
      </c>
      <c r="O284" s="25">
        <f t="shared" si="30"/>
        <v>45902</v>
      </c>
      <c r="P284" s="27">
        <f t="shared" si="28"/>
        <v>0</v>
      </c>
      <c r="Q284" s="27">
        <f t="shared" si="29"/>
        <v>0</v>
      </c>
      <c r="R284" s="28" t="s">
        <v>22</v>
      </c>
      <c r="S284" s="21">
        <v>27000</v>
      </c>
      <c r="T284" s="18" t="s">
        <v>23</v>
      </c>
      <c r="U284" s="14"/>
    </row>
    <row r="285" spans="1:21" x14ac:dyDescent="0.2">
      <c r="A285" s="17">
        <v>283</v>
      </c>
      <c r="B285" s="18" t="s">
        <v>1318</v>
      </c>
      <c r="C285" s="19" t="s">
        <v>1319</v>
      </c>
      <c r="D285" s="20" t="s">
        <v>1320</v>
      </c>
      <c r="E285" s="21">
        <v>200000</v>
      </c>
      <c r="F285" s="20" t="s">
        <v>21</v>
      </c>
      <c r="G285" s="20" t="s">
        <v>21</v>
      </c>
      <c r="H285" s="22" t="s">
        <v>1011</v>
      </c>
      <c r="I285" s="23" t="s">
        <v>1321</v>
      </c>
      <c r="J285" s="24" t="s">
        <v>1290</v>
      </c>
      <c r="K285" s="25">
        <f t="shared" si="25"/>
        <v>45903</v>
      </c>
      <c r="L285" s="26" t="str">
        <f t="shared" si="26"/>
        <v>Sep 25</v>
      </c>
      <c r="M285" s="26" t="str">
        <f t="shared" si="27"/>
        <v>2025</v>
      </c>
      <c r="N285" s="23" t="s">
        <v>1322</v>
      </c>
      <c r="O285" s="25">
        <f t="shared" si="30"/>
        <v>45905</v>
      </c>
      <c r="P285" s="27">
        <f t="shared" si="28"/>
        <v>0</v>
      </c>
      <c r="Q285" s="27">
        <f t="shared" si="29"/>
        <v>0</v>
      </c>
      <c r="R285" s="28" t="s">
        <v>1323</v>
      </c>
      <c r="S285" s="21">
        <v>62153</v>
      </c>
      <c r="T285" s="18" t="s">
        <v>23</v>
      </c>
      <c r="U285" s="14"/>
    </row>
    <row r="286" spans="1:21" x14ac:dyDescent="0.2">
      <c r="A286" s="17">
        <v>284</v>
      </c>
      <c r="B286" s="18" t="s">
        <v>1324</v>
      </c>
      <c r="C286" s="19" t="s">
        <v>1325</v>
      </c>
      <c r="D286" s="20" t="s">
        <v>1326</v>
      </c>
      <c r="E286" s="21" t="s">
        <v>374</v>
      </c>
      <c r="F286" s="20" t="s">
        <v>21</v>
      </c>
      <c r="G286" s="20" t="s">
        <v>21</v>
      </c>
      <c r="H286" s="22" t="s">
        <v>110</v>
      </c>
      <c r="I286" s="23" t="s">
        <v>111</v>
      </c>
      <c r="J286" s="24" t="s">
        <v>54</v>
      </c>
      <c r="K286" s="25">
        <f t="shared" si="25"/>
        <v>45896</v>
      </c>
      <c r="L286" s="26" t="str">
        <f t="shared" si="26"/>
        <v>Aug 25</v>
      </c>
      <c r="M286" s="26" t="str">
        <f t="shared" si="27"/>
        <v>2025</v>
      </c>
      <c r="N286" s="23" t="s">
        <v>1322</v>
      </c>
      <c r="O286" s="25">
        <f t="shared" si="30"/>
        <v>45905</v>
      </c>
      <c r="P286" s="27">
        <f t="shared" si="28"/>
        <v>0</v>
      </c>
      <c r="Q286" s="27">
        <f t="shared" si="29"/>
        <v>0</v>
      </c>
      <c r="R286" s="28" t="s">
        <v>22</v>
      </c>
      <c r="S286" s="21">
        <v>3915</v>
      </c>
      <c r="T286" s="18" t="s">
        <v>23</v>
      </c>
      <c r="U286" s="14"/>
    </row>
    <row r="287" spans="1:21" x14ac:dyDescent="0.2">
      <c r="A287" s="17">
        <v>285</v>
      </c>
      <c r="B287" s="18" t="s">
        <v>1327</v>
      </c>
      <c r="C287" s="19" t="s">
        <v>1328</v>
      </c>
      <c r="D287" s="20" t="s">
        <v>1329</v>
      </c>
      <c r="E287" s="21">
        <v>250000</v>
      </c>
      <c r="F287" s="20" t="s">
        <v>1330</v>
      </c>
      <c r="G287" s="20" t="s">
        <v>21</v>
      </c>
      <c r="H287" s="22" t="s">
        <v>140</v>
      </c>
      <c r="I287" s="23" t="s">
        <v>1331</v>
      </c>
      <c r="J287" s="24" t="s">
        <v>1281</v>
      </c>
      <c r="K287" s="25">
        <f t="shared" si="25"/>
        <v>45902</v>
      </c>
      <c r="L287" s="26" t="str">
        <f t="shared" si="26"/>
        <v>Sep 25</v>
      </c>
      <c r="M287" s="26" t="str">
        <f t="shared" si="27"/>
        <v>2025</v>
      </c>
      <c r="N287" s="23" t="s">
        <v>1332</v>
      </c>
      <c r="O287" s="25">
        <f t="shared" si="30"/>
        <v>45909</v>
      </c>
      <c r="P287" s="27">
        <f t="shared" si="28"/>
        <v>0</v>
      </c>
      <c r="Q287" s="27">
        <f t="shared" si="29"/>
        <v>0</v>
      </c>
      <c r="R287" s="28" t="s">
        <v>22</v>
      </c>
      <c r="S287" s="21">
        <v>45990</v>
      </c>
      <c r="T287" s="18" t="s">
        <v>23</v>
      </c>
      <c r="U287" s="14"/>
    </row>
    <row r="288" spans="1:21" x14ac:dyDescent="0.2">
      <c r="A288" s="17">
        <v>286</v>
      </c>
      <c r="B288" s="18" t="s">
        <v>1333</v>
      </c>
      <c r="C288" s="19" t="s">
        <v>1334</v>
      </c>
      <c r="D288" s="20" t="s">
        <v>1335</v>
      </c>
      <c r="E288" s="21">
        <v>60000</v>
      </c>
      <c r="F288" s="20" t="s">
        <v>21</v>
      </c>
      <c r="G288" s="20" t="s">
        <v>21</v>
      </c>
      <c r="H288" s="22" t="s">
        <v>1336</v>
      </c>
      <c r="I288" s="23" t="s">
        <v>111</v>
      </c>
      <c r="J288" s="24" t="s">
        <v>1154</v>
      </c>
      <c r="K288" s="25">
        <f t="shared" si="25"/>
        <v>45873</v>
      </c>
      <c r="L288" s="26" t="str">
        <f t="shared" si="26"/>
        <v>Aug 25</v>
      </c>
      <c r="M288" s="26" t="str">
        <f t="shared" si="27"/>
        <v>2025</v>
      </c>
      <c r="N288" s="23" t="s">
        <v>1290</v>
      </c>
      <c r="O288" s="25">
        <f t="shared" si="30"/>
        <v>45903</v>
      </c>
      <c r="P288" s="27">
        <f t="shared" si="28"/>
        <v>0</v>
      </c>
      <c r="Q288" s="27">
        <f t="shared" si="29"/>
        <v>0</v>
      </c>
      <c r="R288" s="28" t="s">
        <v>22</v>
      </c>
      <c r="S288" s="21">
        <v>21960</v>
      </c>
      <c r="T288" s="18" t="s">
        <v>23</v>
      </c>
      <c r="U288" s="14"/>
    </row>
    <row r="289" spans="1:21" x14ac:dyDescent="0.2">
      <c r="A289" s="17">
        <v>287</v>
      </c>
      <c r="B289" s="18" t="s">
        <v>1337</v>
      </c>
      <c r="C289" s="19" t="s">
        <v>1338</v>
      </c>
      <c r="D289" s="20" t="s">
        <v>1339</v>
      </c>
      <c r="E289" s="21">
        <v>200000</v>
      </c>
      <c r="F289" s="20" t="s">
        <v>1340</v>
      </c>
      <c r="G289" s="20" t="s">
        <v>21</v>
      </c>
      <c r="H289" s="22" t="s">
        <v>1013</v>
      </c>
      <c r="I289" s="23" t="s">
        <v>34</v>
      </c>
      <c r="J289" s="24" t="s">
        <v>1169</v>
      </c>
      <c r="K289" s="25">
        <f t="shared" si="25"/>
        <v>45844</v>
      </c>
      <c r="L289" s="26" t="str">
        <f t="shared" si="26"/>
        <v>Jul 25</v>
      </c>
      <c r="M289" s="26" t="str">
        <f t="shared" si="27"/>
        <v>2025</v>
      </c>
      <c r="N289" s="23" t="s">
        <v>1341</v>
      </c>
      <c r="O289" s="25">
        <f t="shared" si="30"/>
        <v>45864</v>
      </c>
      <c r="P289" s="27">
        <f t="shared" si="28"/>
        <v>0</v>
      </c>
      <c r="Q289" s="27">
        <f t="shared" si="29"/>
        <v>0</v>
      </c>
      <c r="R289" s="28" t="s">
        <v>65</v>
      </c>
      <c r="S289" s="21">
        <v>10800</v>
      </c>
      <c r="T289" s="18" t="s">
        <v>23</v>
      </c>
      <c r="U289" s="14"/>
    </row>
    <row r="290" spans="1:21" x14ac:dyDescent="0.2">
      <c r="A290" s="17">
        <v>288</v>
      </c>
      <c r="B290" s="18" t="s">
        <v>1342</v>
      </c>
      <c r="C290" s="19" t="s">
        <v>1343</v>
      </c>
      <c r="D290" s="20" t="s">
        <v>1344</v>
      </c>
      <c r="E290" s="21">
        <v>90000</v>
      </c>
      <c r="F290" s="20" t="s">
        <v>1345</v>
      </c>
      <c r="G290" s="20" t="s">
        <v>21</v>
      </c>
      <c r="H290" s="22">
        <v>45658</v>
      </c>
      <c r="I290" s="23" t="s">
        <v>1346</v>
      </c>
      <c r="J290" s="24">
        <v>45930</v>
      </c>
      <c r="K290" s="25">
        <f t="shared" si="25"/>
        <v>1472855</v>
      </c>
      <c r="L290" s="26" t="str">
        <f t="shared" si="26"/>
        <v>Jul 32</v>
      </c>
      <c r="M290" s="26" t="str">
        <f t="shared" si="27"/>
        <v>5932</v>
      </c>
      <c r="N290" s="23" t="s">
        <v>629</v>
      </c>
      <c r="O290" s="25">
        <f t="shared" si="30"/>
        <v>45911</v>
      </c>
      <c r="P290" s="27" t="e">
        <f t="shared" si="28"/>
        <v>#NUM!</v>
      </c>
      <c r="Q290" s="27">
        <f t="shared" si="29"/>
        <v>-3907</v>
      </c>
      <c r="R290" s="28" t="s">
        <v>22</v>
      </c>
      <c r="S290" s="21">
        <v>37008</v>
      </c>
      <c r="T290" s="18" t="s">
        <v>23</v>
      </c>
      <c r="U290" s="14"/>
    </row>
    <row r="291" spans="1:21" x14ac:dyDescent="0.2">
      <c r="A291" s="17">
        <v>289</v>
      </c>
      <c r="B291" s="18" t="s">
        <v>895</v>
      </c>
      <c r="C291" s="19" t="s">
        <v>1347</v>
      </c>
      <c r="D291" s="20" t="s">
        <v>1348</v>
      </c>
      <c r="E291" s="21">
        <v>1203153</v>
      </c>
      <c r="F291" s="20" t="s">
        <v>1349</v>
      </c>
      <c r="G291" s="20" t="s">
        <v>21</v>
      </c>
      <c r="H291" s="22">
        <v>45658</v>
      </c>
      <c r="I291" s="23">
        <v>46022</v>
      </c>
      <c r="J291" s="24">
        <v>45908</v>
      </c>
      <c r="K291" s="25">
        <f t="shared" si="25"/>
        <v>1464150</v>
      </c>
      <c r="L291" s="26" t="str">
        <f t="shared" si="26"/>
        <v>Sep 08</v>
      </c>
      <c r="M291" s="26" t="str">
        <f t="shared" si="27"/>
        <v>5908</v>
      </c>
      <c r="N291" s="23">
        <v>45915</v>
      </c>
      <c r="O291" s="25">
        <f t="shared" si="30"/>
        <v>1466919</v>
      </c>
      <c r="P291" s="27">
        <f t="shared" si="28"/>
        <v>91</v>
      </c>
      <c r="Q291" s="27">
        <f t="shared" si="29"/>
        <v>8</v>
      </c>
      <c r="R291" s="28" t="s">
        <v>22</v>
      </c>
      <c r="S291" s="21">
        <v>43056</v>
      </c>
      <c r="T291" s="18" t="s">
        <v>23</v>
      </c>
      <c r="U291" s="14"/>
    </row>
    <row r="292" spans="1:21" x14ac:dyDescent="0.2">
      <c r="A292" s="17">
        <v>290</v>
      </c>
      <c r="B292" s="18" t="s">
        <v>1350</v>
      </c>
      <c r="C292" s="19" t="s">
        <v>1351</v>
      </c>
      <c r="D292" s="20" t="s">
        <v>1352</v>
      </c>
      <c r="E292" s="21">
        <v>70000</v>
      </c>
      <c r="F292" s="20" t="s">
        <v>21</v>
      </c>
      <c r="G292" s="20" t="s">
        <v>21</v>
      </c>
      <c r="H292" s="22">
        <v>45655</v>
      </c>
      <c r="I292" s="23">
        <v>46022</v>
      </c>
      <c r="J292" s="24">
        <v>45908</v>
      </c>
      <c r="K292" s="25">
        <f t="shared" si="25"/>
        <v>1464150</v>
      </c>
      <c r="L292" s="26" t="str">
        <f t="shared" si="26"/>
        <v>Sep 08</v>
      </c>
      <c r="M292" s="26" t="str">
        <f t="shared" si="27"/>
        <v>5908</v>
      </c>
      <c r="N292" s="23">
        <v>45911</v>
      </c>
      <c r="O292" s="25">
        <f t="shared" si="30"/>
        <v>1465337</v>
      </c>
      <c r="P292" s="27">
        <f t="shared" si="28"/>
        <v>39</v>
      </c>
      <c r="Q292" s="27">
        <f t="shared" si="29"/>
        <v>3</v>
      </c>
      <c r="R292" s="28" t="s">
        <v>22</v>
      </c>
      <c r="S292" s="21">
        <v>28000</v>
      </c>
      <c r="T292" s="18" t="s">
        <v>23</v>
      </c>
      <c r="U292" s="14"/>
    </row>
    <row r="293" spans="1:21" x14ac:dyDescent="0.2">
      <c r="A293" s="17">
        <v>291</v>
      </c>
      <c r="B293" s="18" t="s">
        <v>1353</v>
      </c>
      <c r="C293" s="19" t="s">
        <v>1354</v>
      </c>
      <c r="D293" s="20" t="s">
        <v>1355</v>
      </c>
      <c r="E293" s="21">
        <v>150000</v>
      </c>
      <c r="F293" s="20" t="s">
        <v>1356</v>
      </c>
      <c r="G293" s="20" t="s">
        <v>21</v>
      </c>
      <c r="H293" s="22">
        <v>45861</v>
      </c>
      <c r="I293" s="23" t="s">
        <v>1357</v>
      </c>
      <c r="J293" s="24">
        <v>45903</v>
      </c>
      <c r="K293" s="25">
        <f t="shared" si="25"/>
        <v>1462170</v>
      </c>
      <c r="L293" s="26" t="str">
        <f t="shared" si="26"/>
        <v>Apr 03</v>
      </c>
      <c r="M293" s="26" t="str">
        <f t="shared" si="27"/>
        <v>5903</v>
      </c>
      <c r="N293" s="23">
        <v>45910</v>
      </c>
      <c r="O293" s="25">
        <f t="shared" si="30"/>
        <v>1464941</v>
      </c>
      <c r="P293" s="27">
        <f t="shared" si="28"/>
        <v>91</v>
      </c>
      <c r="Q293" s="27">
        <f t="shared" si="29"/>
        <v>7</v>
      </c>
      <c r="R293" s="28" t="s">
        <v>22</v>
      </c>
      <c r="S293" s="21">
        <v>56005</v>
      </c>
      <c r="T293" s="18" t="s">
        <v>23</v>
      </c>
      <c r="U293" s="14"/>
    </row>
    <row r="294" spans="1:21" x14ac:dyDescent="0.2">
      <c r="A294" s="17">
        <v>292</v>
      </c>
      <c r="B294" s="18" t="s">
        <v>1358</v>
      </c>
      <c r="C294" s="19" t="s">
        <v>1359</v>
      </c>
      <c r="D294" s="20" t="s">
        <v>1360</v>
      </c>
      <c r="E294" s="21">
        <v>100000</v>
      </c>
      <c r="F294" s="20" t="s">
        <v>1361</v>
      </c>
      <c r="G294" s="20" t="s">
        <v>21</v>
      </c>
      <c r="H294" s="22" t="s">
        <v>110</v>
      </c>
      <c r="I294" s="23" t="s">
        <v>111</v>
      </c>
      <c r="J294" s="24" t="s">
        <v>1362</v>
      </c>
      <c r="K294" s="25">
        <f t="shared" si="25"/>
        <v>45908</v>
      </c>
      <c r="L294" s="26" t="str">
        <f t="shared" si="26"/>
        <v>Sep 25</v>
      </c>
      <c r="M294" s="26" t="str">
        <f t="shared" si="27"/>
        <v>2025</v>
      </c>
      <c r="N294" s="23" t="s">
        <v>1363</v>
      </c>
      <c r="O294" s="25">
        <f t="shared" si="30"/>
        <v>45915</v>
      </c>
      <c r="P294" s="27">
        <f t="shared" si="28"/>
        <v>0</v>
      </c>
      <c r="Q294" s="27">
        <f t="shared" si="29"/>
        <v>0</v>
      </c>
      <c r="R294" s="28" t="s">
        <v>22</v>
      </c>
      <c r="S294" s="21">
        <v>12945</v>
      </c>
      <c r="T294" s="18" t="s">
        <v>23</v>
      </c>
      <c r="U294" s="14"/>
    </row>
    <row r="295" spans="1:21" x14ac:dyDescent="0.2">
      <c r="A295" s="17">
        <v>293</v>
      </c>
      <c r="B295" s="18" t="s">
        <v>1364</v>
      </c>
      <c r="C295" s="19" t="s">
        <v>1365</v>
      </c>
      <c r="D295" s="20" t="s">
        <v>1366</v>
      </c>
      <c r="E295" s="21">
        <v>250000</v>
      </c>
      <c r="F295" s="20" t="s">
        <v>21</v>
      </c>
      <c r="G295" s="20" t="s">
        <v>21</v>
      </c>
      <c r="H295" s="22" t="s">
        <v>125</v>
      </c>
      <c r="I295" s="23" t="s">
        <v>126</v>
      </c>
      <c r="J295" s="24" t="s">
        <v>1367</v>
      </c>
      <c r="K295" s="25">
        <f t="shared" si="25"/>
        <v>45906</v>
      </c>
      <c r="L295" s="26" t="str">
        <f t="shared" si="26"/>
        <v>Sep 25</v>
      </c>
      <c r="M295" s="26" t="str">
        <f t="shared" si="27"/>
        <v>2025</v>
      </c>
      <c r="N295" s="23" t="s">
        <v>1368</v>
      </c>
      <c r="O295" s="25">
        <f t="shared" si="30"/>
        <v>45917</v>
      </c>
      <c r="P295" s="27">
        <f t="shared" si="28"/>
        <v>0</v>
      </c>
      <c r="Q295" s="27">
        <f t="shared" si="29"/>
        <v>0</v>
      </c>
      <c r="R295" s="28" t="s">
        <v>22</v>
      </c>
      <c r="S295" s="21">
        <v>16702.72</v>
      </c>
      <c r="T295" s="18" t="s">
        <v>23</v>
      </c>
      <c r="U295" s="14"/>
    </row>
    <row r="296" spans="1:21" x14ac:dyDescent="0.2">
      <c r="A296" s="17">
        <v>294</v>
      </c>
      <c r="B296" s="18" t="s">
        <v>1369</v>
      </c>
      <c r="C296" s="19" t="s">
        <v>1370</v>
      </c>
      <c r="D296" s="20" t="s">
        <v>1371</v>
      </c>
      <c r="E296" s="21">
        <v>600000</v>
      </c>
      <c r="F296" s="20" t="s">
        <v>21</v>
      </c>
      <c r="G296" s="20" t="s">
        <v>21</v>
      </c>
      <c r="H296" s="22" t="s">
        <v>664</v>
      </c>
      <c r="I296" s="23" t="s">
        <v>30</v>
      </c>
      <c r="J296" s="24" t="s">
        <v>1184</v>
      </c>
      <c r="K296" s="25">
        <f t="shared" si="25"/>
        <v>45881</v>
      </c>
      <c r="L296" s="26" t="str">
        <f t="shared" si="26"/>
        <v>Aug 25</v>
      </c>
      <c r="M296" s="26" t="str">
        <f t="shared" si="27"/>
        <v>2025</v>
      </c>
      <c r="N296" s="23" t="s">
        <v>1363</v>
      </c>
      <c r="O296" s="25">
        <f t="shared" si="30"/>
        <v>45915</v>
      </c>
      <c r="P296" s="27">
        <f t="shared" si="28"/>
        <v>1</v>
      </c>
      <c r="Q296" s="27">
        <f t="shared" si="29"/>
        <v>0</v>
      </c>
      <c r="R296" s="28" t="s">
        <v>894</v>
      </c>
      <c r="S296" s="21">
        <v>0</v>
      </c>
      <c r="T296" s="18" t="s">
        <v>23</v>
      </c>
      <c r="U296" s="14"/>
    </row>
    <row r="297" spans="1:21" x14ac:dyDescent="0.2">
      <c r="A297" s="17">
        <v>295</v>
      </c>
      <c r="B297" s="18" t="s">
        <v>415</v>
      </c>
      <c r="C297" s="19" t="s">
        <v>1372</v>
      </c>
      <c r="D297" s="20" t="s">
        <v>1373</v>
      </c>
      <c r="E297" s="21">
        <v>162954.48000000001</v>
      </c>
      <c r="F297" s="20" t="s">
        <v>21</v>
      </c>
      <c r="G297" s="20" t="s">
        <v>21</v>
      </c>
      <c r="H297" s="22" t="s">
        <v>140</v>
      </c>
      <c r="I297" s="23" t="s">
        <v>141</v>
      </c>
      <c r="J297" s="24" t="s">
        <v>1170</v>
      </c>
      <c r="K297" s="25">
        <f t="shared" si="25"/>
        <v>45880</v>
      </c>
      <c r="L297" s="26" t="str">
        <f t="shared" si="26"/>
        <v>Aug 25</v>
      </c>
      <c r="M297" s="26" t="str">
        <f t="shared" si="27"/>
        <v>2025</v>
      </c>
      <c r="N297" s="23" t="s">
        <v>1374</v>
      </c>
      <c r="O297" s="25">
        <f t="shared" si="30"/>
        <v>45919</v>
      </c>
      <c r="P297" s="27">
        <f t="shared" si="28"/>
        <v>1</v>
      </c>
      <c r="Q297" s="27">
        <f t="shared" si="29"/>
        <v>0</v>
      </c>
      <c r="R297" s="28" t="s">
        <v>65</v>
      </c>
      <c r="S297" s="21">
        <v>30600</v>
      </c>
      <c r="T297" s="18" t="s">
        <v>23</v>
      </c>
      <c r="U297" s="14"/>
    </row>
    <row r="298" spans="1:21" x14ac:dyDescent="0.2">
      <c r="A298" s="17">
        <v>296</v>
      </c>
      <c r="B298" s="18" t="s">
        <v>1375</v>
      </c>
      <c r="C298" s="19" t="s">
        <v>1376</v>
      </c>
      <c r="D298" s="20" t="s">
        <v>1377</v>
      </c>
      <c r="E298" s="21">
        <v>80000</v>
      </c>
      <c r="F298" s="20" t="s">
        <v>21</v>
      </c>
      <c r="G298" s="20" t="s">
        <v>21</v>
      </c>
      <c r="H298" s="22" t="s">
        <v>611</v>
      </c>
      <c r="I298" s="23" t="s">
        <v>303</v>
      </c>
      <c r="J298" s="24" t="s">
        <v>1269</v>
      </c>
      <c r="K298" s="25">
        <f t="shared" si="25"/>
        <v>45893</v>
      </c>
      <c r="L298" s="26" t="str">
        <f t="shared" si="26"/>
        <v>Aug 25</v>
      </c>
      <c r="M298" s="26" t="str">
        <f t="shared" si="27"/>
        <v>2025</v>
      </c>
      <c r="N298" s="23" t="s">
        <v>1378</v>
      </c>
      <c r="O298" s="25">
        <f t="shared" si="30"/>
        <v>45923</v>
      </c>
      <c r="P298" s="27">
        <f t="shared" si="28"/>
        <v>0</v>
      </c>
      <c r="Q298" s="27">
        <f t="shared" si="29"/>
        <v>0</v>
      </c>
      <c r="R298" s="28" t="s">
        <v>65</v>
      </c>
      <c r="S298" s="21">
        <v>30119.4</v>
      </c>
      <c r="T298" s="18" t="s">
        <v>23</v>
      </c>
      <c r="U298" s="14"/>
    </row>
    <row r="299" spans="1:21" x14ac:dyDescent="0.2">
      <c r="A299" s="17">
        <v>297</v>
      </c>
      <c r="B299" s="18" t="s">
        <v>1379</v>
      </c>
      <c r="C299" s="19" t="s">
        <v>1380</v>
      </c>
      <c r="D299" s="20" t="s">
        <v>1381</v>
      </c>
      <c r="E299" s="21">
        <v>40000</v>
      </c>
      <c r="F299" s="20" t="s">
        <v>21</v>
      </c>
      <c r="G299" s="20" t="s">
        <v>21</v>
      </c>
      <c r="H299" s="22" t="s">
        <v>110</v>
      </c>
      <c r="I299" s="23" t="s">
        <v>111</v>
      </c>
      <c r="J299" s="24" t="s">
        <v>1363</v>
      </c>
      <c r="K299" s="25">
        <f t="shared" si="25"/>
        <v>45915</v>
      </c>
      <c r="L299" s="26" t="str">
        <f t="shared" si="26"/>
        <v>Sep 25</v>
      </c>
      <c r="M299" s="26" t="str">
        <f t="shared" si="27"/>
        <v>2025</v>
      </c>
      <c r="N299" s="23" t="s">
        <v>1382</v>
      </c>
      <c r="O299" s="25">
        <f t="shared" si="30"/>
        <v>45924</v>
      </c>
      <c r="P299" s="27">
        <f t="shared" si="28"/>
        <v>0</v>
      </c>
      <c r="Q299" s="27">
        <f t="shared" si="29"/>
        <v>0</v>
      </c>
      <c r="R299" s="28" t="s">
        <v>22</v>
      </c>
      <c r="S299" s="21">
        <v>4950</v>
      </c>
      <c r="T299" s="18" t="s">
        <v>23</v>
      </c>
      <c r="U299" s="14"/>
    </row>
    <row r="300" spans="1:21" x14ac:dyDescent="0.2">
      <c r="A300" s="17">
        <v>298</v>
      </c>
      <c r="B300" s="18" t="s">
        <v>1383</v>
      </c>
      <c r="C300" s="19" t="s">
        <v>1384</v>
      </c>
      <c r="D300" s="20" t="s">
        <v>1385</v>
      </c>
      <c r="E300" s="21">
        <v>45000</v>
      </c>
      <c r="F300" s="20" t="s">
        <v>21</v>
      </c>
      <c r="G300" s="20" t="s">
        <v>21</v>
      </c>
      <c r="H300" s="22" t="s">
        <v>926</v>
      </c>
      <c r="I300" s="23" t="s">
        <v>1386</v>
      </c>
      <c r="J300" s="24" t="s">
        <v>1387</v>
      </c>
      <c r="K300" s="25">
        <f t="shared" si="25"/>
        <v>45910</v>
      </c>
      <c r="L300" s="26" t="str">
        <f t="shared" si="26"/>
        <v>Sep 25</v>
      </c>
      <c r="M300" s="26" t="str">
        <f t="shared" si="27"/>
        <v>2025</v>
      </c>
      <c r="N300" s="23" t="s">
        <v>47</v>
      </c>
      <c r="O300" s="25">
        <f t="shared" si="30"/>
        <v>45922</v>
      </c>
      <c r="P300" s="27">
        <f t="shared" si="28"/>
        <v>0</v>
      </c>
      <c r="Q300" s="27">
        <f t="shared" si="29"/>
        <v>0</v>
      </c>
      <c r="R300" s="28" t="s">
        <v>22</v>
      </c>
      <c r="S300" s="21">
        <v>40500</v>
      </c>
      <c r="T300" s="18" t="s">
        <v>23</v>
      </c>
      <c r="U300" s="14"/>
    </row>
    <row r="301" spans="1:21" x14ac:dyDescent="0.2">
      <c r="A301" s="17">
        <v>299</v>
      </c>
      <c r="B301" s="18" t="s">
        <v>1388</v>
      </c>
      <c r="C301" s="19" t="s">
        <v>1389</v>
      </c>
      <c r="D301" s="20" t="s">
        <v>1390</v>
      </c>
      <c r="E301" s="21">
        <v>30000</v>
      </c>
      <c r="F301" s="20" t="s">
        <v>21</v>
      </c>
      <c r="G301" s="20" t="s">
        <v>21</v>
      </c>
      <c r="H301" s="22" t="s">
        <v>369</v>
      </c>
      <c r="I301" s="23" t="s">
        <v>620</v>
      </c>
      <c r="J301" s="24" t="s">
        <v>1023</v>
      </c>
      <c r="K301" s="25">
        <f t="shared" si="25"/>
        <v>45855</v>
      </c>
      <c r="L301" s="26" t="str">
        <f t="shared" si="26"/>
        <v>Jul 25</v>
      </c>
      <c r="M301" s="26" t="str">
        <f t="shared" si="27"/>
        <v>2025</v>
      </c>
      <c r="N301" s="23" t="s">
        <v>1391</v>
      </c>
      <c r="O301" s="25">
        <f t="shared" si="30"/>
        <v>45918</v>
      </c>
      <c r="P301" s="27">
        <f t="shared" si="28"/>
        <v>2</v>
      </c>
      <c r="Q301" s="27">
        <f t="shared" si="29"/>
        <v>0</v>
      </c>
      <c r="R301" s="28" t="s">
        <v>22</v>
      </c>
      <c r="S301" s="21">
        <v>2700</v>
      </c>
      <c r="T301" s="18" t="s">
        <v>23</v>
      </c>
      <c r="U301" s="14"/>
    </row>
    <row r="302" spans="1:21" x14ac:dyDescent="0.2">
      <c r="A302" s="17">
        <v>300</v>
      </c>
      <c r="B302" s="18" t="s">
        <v>1392</v>
      </c>
      <c r="C302" s="19" t="s">
        <v>1393</v>
      </c>
      <c r="D302" s="20" t="s">
        <v>1394</v>
      </c>
      <c r="E302" s="21">
        <v>100000</v>
      </c>
      <c r="F302" s="20" t="s">
        <v>21</v>
      </c>
      <c r="G302" s="20" t="s">
        <v>21</v>
      </c>
      <c r="H302" s="22" t="s">
        <v>27</v>
      </c>
      <c r="I302" s="23" t="s">
        <v>34</v>
      </c>
      <c r="J302" s="24" t="s">
        <v>1395</v>
      </c>
      <c r="K302" s="25">
        <f t="shared" si="25"/>
        <v>45914</v>
      </c>
      <c r="L302" s="26" t="str">
        <f t="shared" si="26"/>
        <v>Sep 25</v>
      </c>
      <c r="M302" s="26" t="str">
        <f t="shared" si="27"/>
        <v>2025</v>
      </c>
      <c r="N302" s="23" t="s">
        <v>1391</v>
      </c>
      <c r="O302" s="25">
        <f t="shared" si="30"/>
        <v>45918</v>
      </c>
      <c r="P302" s="27">
        <f t="shared" si="28"/>
        <v>0</v>
      </c>
      <c r="Q302" s="27">
        <f t="shared" si="29"/>
        <v>0</v>
      </c>
      <c r="R302" s="28" t="s">
        <v>65</v>
      </c>
      <c r="S302" s="21">
        <v>26047</v>
      </c>
      <c r="T302" s="18" t="s">
        <v>23</v>
      </c>
      <c r="U302" s="14"/>
    </row>
    <row r="303" spans="1:21" x14ac:dyDescent="0.2">
      <c r="A303" s="17">
        <v>301</v>
      </c>
      <c r="B303" s="18" t="s">
        <v>1396</v>
      </c>
      <c r="C303" s="19" t="s">
        <v>1397</v>
      </c>
      <c r="D303" s="20" t="s">
        <v>1398</v>
      </c>
      <c r="E303" s="21">
        <v>70000</v>
      </c>
      <c r="F303" s="20" t="s">
        <v>21</v>
      </c>
      <c r="G303" s="20" t="s">
        <v>21</v>
      </c>
      <c r="H303" s="22" t="s">
        <v>27</v>
      </c>
      <c r="I303" s="23" t="s">
        <v>34</v>
      </c>
      <c r="J303" s="24" t="s">
        <v>1367</v>
      </c>
      <c r="K303" s="25">
        <f t="shared" si="25"/>
        <v>45906</v>
      </c>
      <c r="L303" s="26" t="str">
        <f t="shared" si="26"/>
        <v>Sep 25</v>
      </c>
      <c r="M303" s="26" t="str">
        <f t="shared" si="27"/>
        <v>2025</v>
      </c>
      <c r="N303" s="23" t="s">
        <v>1382</v>
      </c>
      <c r="O303" s="25">
        <f t="shared" si="30"/>
        <v>45924</v>
      </c>
      <c r="P303" s="27">
        <f t="shared" si="28"/>
        <v>0</v>
      </c>
      <c r="Q303" s="27">
        <f t="shared" si="29"/>
        <v>0</v>
      </c>
      <c r="R303" s="28" t="s">
        <v>22</v>
      </c>
      <c r="S303" s="21">
        <v>7785</v>
      </c>
      <c r="T303" s="18" t="s">
        <v>23</v>
      </c>
      <c r="U303" s="14"/>
    </row>
    <row r="304" spans="1:21" x14ac:dyDescent="0.2">
      <c r="A304" s="17">
        <v>302</v>
      </c>
      <c r="B304" s="18" t="s">
        <v>1399</v>
      </c>
      <c r="C304" s="19" t="s">
        <v>1400</v>
      </c>
      <c r="D304" s="20" t="s">
        <v>1401</v>
      </c>
      <c r="E304" s="21">
        <v>85000</v>
      </c>
      <c r="F304" s="20" t="s">
        <v>21</v>
      </c>
      <c r="G304" s="20" t="s">
        <v>21</v>
      </c>
      <c r="H304" s="22" t="s">
        <v>1402</v>
      </c>
      <c r="I304" s="23" t="s">
        <v>1092</v>
      </c>
      <c r="J304" s="24" t="s">
        <v>1362</v>
      </c>
      <c r="K304" s="25">
        <f t="shared" si="25"/>
        <v>45908</v>
      </c>
      <c r="L304" s="26" t="str">
        <f t="shared" si="26"/>
        <v>Sep 25</v>
      </c>
      <c r="M304" s="26" t="str">
        <f t="shared" si="27"/>
        <v>2025</v>
      </c>
      <c r="N304" s="23" t="s">
        <v>1382</v>
      </c>
      <c r="O304" s="25">
        <f t="shared" si="30"/>
        <v>45924</v>
      </c>
      <c r="P304" s="27">
        <f t="shared" si="28"/>
        <v>0</v>
      </c>
      <c r="Q304" s="27">
        <f t="shared" si="29"/>
        <v>0</v>
      </c>
      <c r="R304" s="28" t="s">
        <v>22</v>
      </c>
      <c r="S304" s="21">
        <v>13500</v>
      </c>
      <c r="T304" s="18" t="s">
        <v>23</v>
      </c>
      <c r="U304" s="14"/>
    </row>
    <row r="305" spans="1:21" x14ac:dyDescent="0.2">
      <c r="A305" s="17">
        <v>303</v>
      </c>
      <c r="B305" s="18" t="s">
        <v>1403</v>
      </c>
      <c r="C305" s="19" t="s">
        <v>1404</v>
      </c>
      <c r="D305" s="20" t="s">
        <v>1405</v>
      </c>
      <c r="E305" s="21">
        <v>120000</v>
      </c>
      <c r="F305" s="20" t="s">
        <v>21</v>
      </c>
      <c r="G305" s="20" t="s">
        <v>21</v>
      </c>
      <c r="H305" s="22" t="s">
        <v>1406</v>
      </c>
      <c r="I305" s="23" t="s">
        <v>1407</v>
      </c>
      <c r="J305" s="24" t="s">
        <v>1272</v>
      </c>
      <c r="K305" s="25">
        <f t="shared" si="25"/>
        <v>45904</v>
      </c>
      <c r="L305" s="26" t="str">
        <f t="shared" si="26"/>
        <v>Sep 25</v>
      </c>
      <c r="M305" s="26" t="str">
        <f t="shared" si="27"/>
        <v>2025</v>
      </c>
      <c r="N305" s="23" t="s">
        <v>1391</v>
      </c>
      <c r="O305" s="25">
        <f t="shared" si="30"/>
        <v>45918</v>
      </c>
      <c r="P305" s="27">
        <f t="shared" si="28"/>
        <v>0</v>
      </c>
      <c r="Q305" s="27">
        <f t="shared" si="29"/>
        <v>0</v>
      </c>
      <c r="R305" s="28" t="s">
        <v>22</v>
      </c>
      <c r="S305" s="21">
        <v>10193</v>
      </c>
      <c r="T305" s="18" t="s">
        <v>23</v>
      </c>
      <c r="U305" s="14"/>
    </row>
    <row r="306" spans="1:21" x14ac:dyDescent="0.2">
      <c r="A306" s="17">
        <v>304</v>
      </c>
      <c r="B306" s="18" t="s">
        <v>895</v>
      </c>
      <c r="C306" s="19" t="s">
        <v>1408</v>
      </c>
      <c r="D306" s="20" t="s">
        <v>1409</v>
      </c>
      <c r="E306" s="21">
        <v>1000000</v>
      </c>
      <c r="F306" s="20" t="s">
        <v>21</v>
      </c>
      <c r="G306" s="20" t="s">
        <v>21</v>
      </c>
      <c r="H306" s="22" t="s">
        <v>140</v>
      </c>
      <c r="I306" s="23" t="s">
        <v>141</v>
      </c>
      <c r="J306" s="24" t="s">
        <v>1294</v>
      </c>
      <c r="K306" s="25">
        <f t="shared" si="25"/>
        <v>45898</v>
      </c>
      <c r="L306" s="26" t="str">
        <f t="shared" si="26"/>
        <v>Aug 25</v>
      </c>
      <c r="M306" s="26" t="str">
        <f t="shared" si="27"/>
        <v>2025</v>
      </c>
      <c r="N306" s="23" t="s">
        <v>1129</v>
      </c>
      <c r="O306" s="25">
        <f t="shared" si="30"/>
        <v>45888</v>
      </c>
      <c r="P306" s="27" t="e">
        <f t="shared" si="28"/>
        <v>#NUM!</v>
      </c>
      <c r="Q306" s="27">
        <f t="shared" si="29"/>
        <v>0</v>
      </c>
      <c r="R306" s="28" t="s">
        <v>65</v>
      </c>
      <c r="S306" s="21">
        <v>5481</v>
      </c>
      <c r="T306" s="18" t="s">
        <v>23</v>
      </c>
      <c r="U306" s="14"/>
    </row>
    <row r="307" spans="1:21" x14ac:dyDescent="0.2">
      <c r="A307" s="17">
        <v>305</v>
      </c>
      <c r="B307" s="18" t="s">
        <v>1410</v>
      </c>
      <c r="C307" s="19" t="s">
        <v>1411</v>
      </c>
      <c r="D307" s="20" t="s">
        <v>1412</v>
      </c>
      <c r="E307" s="21">
        <v>80000</v>
      </c>
      <c r="F307" s="20" t="s">
        <v>21</v>
      </c>
      <c r="G307" s="20" t="s">
        <v>21</v>
      </c>
      <c r="H307" s="22" t="s">
        <v>728</v>
      </c>
      <c r="I307" s="23" t="s">
        <v>870</v>
      </c>
      <c r="J307" s="24" t="s">
        <v>1155</v>
      </c>
      <c r="K307" s="25">
        <f t="shared" si="25"/>
        <v>45887</v>
      </c>
      <c r="L307" s="26" t="str">
        <f t="shared" si="26"/>
        <v>Aug 25</v>
      </c>
      <c r="M307" s="26" t="str">
        <f t="shared" si="27"/>
        <v>2025</v>
      </c>
      <c r="N307" s="23">
        <v>19.092025</v>
      </c>
      <c r="O307" s="25">
        <f t="shared" si="30"/>
        <v>45919</v>
      </c>
      <c r="P307" s="27">
        <f t="shared" si="28"/>
        <v>1</v>
      </c>
      <c r="Q307" s="27">
        <f t="shared" si="29"/>
        <v>0</v>
      </c>
      <c r="R307" s="28" t="s">
        <v>1413</v>
      </c>
      <c r="S307" s="21">
        <v>46000</v>
      </c>
      <c r="T307" s="18" t="s">
        <v>23</v>
      </c>
      <c r="U307" s="14"/>
    </row>
    <row r="308" spans="1:21" x14ac:dyDescent="0.2">
      <c r="A308" s="17">
        <v>306</v>
      </c>
      <c r="B308" s="18" t="s">
        <v>1414</v>
      </c>
      <c r="C308" s="19" t="s">
        <v>1415</v>
      </c>
      <c r="D308" s="20" t="s">
        <v>1416</v>
      </c>
      <c r="E308" s="21">
        <v>100000</v>
      </c>
      <c r="F308" s="20" t="s">
        <v>21</v>
      </c>
      <c r="G308" s="20" t="s">
        <v>21</v>
      </c>
      <c r="H308" s="22" t="s">
        <v>128</v>
      </c>
      <c r="I308" s="23" t="s">
        <v>141</v>
      </c>
      <c r="J308" s="24" t="s">
        <v>70</v>
      </c>
      <c r="K308" s="25">
        <f t="shared" si="25"/>
        <v>45897</v>
      </c>
      <c r="L308" s="26" t="str">
        <f t="shared" si="26"/>
        <v>Aug 25</v>
      </c>
      <c r="M308" s="26" t="str">
        <f t="shared" si="27"/>
        <v>2025</v>
      </c>
      <c r="N308" s="23" t="s">
        <v>914</v>
      </c>
      <c r="O308" s="25">
        <f t="shared" si="30"/>
        <v>45926</v>
      </c>
      <c r="P308" s="27">
        <f t="shared" si="28"/>
        <v>0</v>
      </c>
      <c r="Q308" s="27">
        <f t="shared" si="29"/>
        <v>0</v>
      </c>
      <c r="R308" s="28" t="s">
        <v>22</v>
      </c>
      <c r="S308" s="21">
        <v>7470</v>
      </c>
      <c r="T308" s="18" t="s">
        <v>23</v>
      </c>
      <c r="U308" s="14"/>
    </row>
    <row r="309" spans="1:21" x14ac:dyDescent="0.2">
      <c r="A309" s="17">
        <v>307</v>
      </c>
      <c r="B309" s="18" t="s">
        <v>1417</v>
      </c>
      <c r="C309" s="19" t="s">
        <v>1418</v>
      </c>
      <c r="D309" s="20" t="s">
        <v>1419</v>
      </c>
      <c r="E309" s="21">
        <v>70000</v>
      </c>
      <c r="F309" s="20" t="s">
        <v>1420</v>
      </c>
      <c r="G309" s="20" t="s">
        <v>21</v>
      </c>
      <c r="H309" s="22" t="s">
        <v>27</v>
      </c>
      <c r="I309" s="23" t="s">
        <v>28</v>
      </c>
      <c r="J309" s="24" t="s">
        <v>1294</v>
      </c>
      <c r="K309" s="25">
        <f t="shared" si="25"/>
        <v>45898</v>
      </c>
      <c r="L309" s="26" t="str">
        <f t="shared" si="26"/>
        <v>Aug 25</v>
      </c>
      <c r="M309" s="26" t="str">
        <f t="shared" si="27"/>
        <v>2025</v>
      </c>
      <c r="N309" s="23" t="s">
        <v>1374</v>
      </c>
      <c r="O309" s="25">
        <f t="shared" si="30"/>
        <v>45919</v>
      </c>
      <c r="P309" s="27">
        <f t="shared" si="28"/>
        <v>0</v>
      </c>
      <c r="Q309" s="27">
        <f t="shared" si="29"/>
        <v>0</v>
      </c>
      <c r="R309" s="28" t="s">
        <v>22</v>
      </c>
      <c r="S309" s="21">
        <v>35658</v>
      </c>
      <c r="T309" s="18" t="s">
        <v>23</v>
      </c>
      <c r="U309" s="14"/>
    </row>
    <row r="310" spans="1:21" x14ac:dyDescent="0.2">
      <c r="A310" s="17">
        <v>308</v>
      </c>
      <c r="B310" s="18" t="s">
        <v>1421</v>
      </c>
      <c r="C310" s="19" t="s">
        <v>1422</v>
      </c>
      <c r="D310" s="20" t="s">
        <v>1423</v>
      </c>
      <c r="E310" s="21">
        <v>80000</v>
      </c>
      <c r="F310" s="20" t="s">
        <v>21</v>
      </c>
      <c r="G310" s="20" t="s">
        <v>21</v>
      </c>
      <c r="H310" s="22">
        <v>45839</v>
      </c>
      <c r="I310" s="23">
        <v>46203</v>
      </c>
      <c r="J310" s="24">
        <v>45886</v>
      </c>
      <c r="K310" s="25">
        <f t="shared" si="25"/>
        <v>1458491</v>
      </c>
      <c r="L310" s="26" t="str">
        <f t="shared" si="26"/>
        <v>Mar 93</v>
      </c>
      <c r="M310" s="26" t="str">
        <f t="shared" si="27"/>
        <v>5893</v>
      </c>
      <c r="N310" s="23">
        <v>45933</v>
      </c>
      <c r="O310" s="25">
        <f t="shared" si="30"/>
        <v>1474042</v>
      </c>
      <c r="P310" s="27">
        <f t="shared" si="28"/>
        <v>510</v>
      </c>
      <c r="Q310" s="27">
        <f t="shared" si="29"/>
        <v>42</v>
      </c>
      <c r="R310" s="28" t="s">
        <v>22</v>
      </c>
      <c r="S310" s="21">
        <v>11070</v>
      </c>
      <c r="T310" s="18" t="s">
        <v>23</v>
      </c>
      <c r="U310" s="14"/>
    </row>
    <row r="311" spans="1:21" x14ac:dyDescent="0.2">
      <c r="A311" s="17">
        <v>309</v>
      </c>
      <c r="B311" s="18" t="s">
        <v>1424</v>
      </c>
      <c r="C311" s="19" t="s">
        <v>1425</v>
      </c>
      <c r="D311" s="20" t="s">
        <v>1426</v>
      </c>
      <c r="E311" s="21">
        <v>25000</v>
      </c>
      <c r="F311" s="20" t="s">
        <v>21</v>
      </c>
      <c r="G311" s="20" t="s">
        <v>21</v>
      </c>
      <c r="H311" s="22" t="s">
        <v>110</v>
      </c>
      <c r="I311" s="23" t="s">
        <v>111</v>
      </c>
      <c r="J311" s="24" t="s">
        <v>1281</v>
      </c>
      <c r="K311" s="25">
        <f t="shared" si="25"/>
        <v>45902</v>
      </c>
      <c r="L311" s="26" t="str">
        <f t="shared" si="26"/>
        <v>Sep 25</v>
      </c>
      <c r="M311" s="26" t="str">
        <f t="shared" si="27"/>
        <v>2025</v>
      </c>
      <c r="N311" s="23" t="s">
        <v>1427</v>
      </c>
      <c r="O311" s="25">
        <f t="shared" si="30"/>
        <v>45925</v>
      </c>
      <c r="P311" s="27">
        <f t="shared" si="28"/>
        <v>0</v>
      </c>
      <c r="Q311" s="27">
        <f t="shared" si="29"/>
        <v>0</v>
      </c>
      <c r="R311" s="28" t="s">
        <v>22</v>
      </c>
      <c r="S311" s="21">
        <v>10446.459999999999</v>
      </c>
      <c r="T311" s="18" t="s">
        <v>23</v>
      </c>
      <c r="U311" s="14"/>
    </row>
    <row r="312" spans="1:21" x14ac:dyDescent="0.2">
      <c r="A312" s="17">
        <v>310</v>
      </c>
      <c r="B312" s="18" t="s">
        <v>1428</v>
      </c>
      <c r="C312" s="19" t="s">
        <v>1429</v>
      </c>
      <c r="D312" s="20" t="s">
        <v>1430</v>
      </c>
      <c r="E312" s="21">
        <v>130000</v>
      </c>
      <c r="F312" s="20" t="s">
        <v>21</v>
      </c>
      <c r="G312" s="20" t="s">
        <v>21</v>
      </c>
      <c r="H312" s="22">
        <v>45917</v>
      </c>
      <c r="I312" s="23">
        <v>46281</v>
      </c>
      <c r="J312" s="24">
        <v>45927</v>
      </c>
      <c r="K312" s="25">
        <f t="shared" si="25"/>
        <v>1471667</v>
      </c>
      <c r="L312" s="26" t="str">
        <f t="shared" si="26"/>
        <v>Apr 29</v>
      </c>
      <c r="M312" s="26" t="str">
        <f t="shared" si="27"/>
        <v>5929</v>
      </c>
      <c r="N312" s="23">
        <v>45932</v>
      </c>
      <c r="O312" s="25">
        <f t="shared" si="30"/>
        <v>1473646</v>
      </c>
      <c r="P312" s="27">
        <f t="shared" si="28"/>
        <v>65</v>
      </c>
      <c r="Q312" s="27">
        <f t="shared" si="29"/>
        <v>5</v>
      </c>
      <c r="R312" s="28" t="s">
        <v>65</v>
      </c>
      <c r="S312" s="21">
        <v>29610</v>
      </c>
      <c r="T312" s="18" t="s">
        <v>23</v>
      </c>
      <c r="U312" s="14"/>
    </row>
    <row r="313" spans="1:21" x14ac:dyDescent="0.2">
      <c r="A313" s="17">
        <v>311</v>
      </c>
      <c r="B313" s="18" t="s">
        <v>1431</v>
      </c>
      <c r="C313" s="19" t="s">
        <v>1432</v>
      </c>
      <c r="D313" s="20" t="s">
        <v>1433</v>
      </c>
      <c r="E313" s="21">
        <v>60000</v>
      </c>
      <c r="F313" s="20" t="s">
        <v>21</v>
      </c>
      <c r="G313" s="20" t="s">
        <v>21</v>
      </c>
      <c r="H313" s="22">
        <v>45752</v>
      </c>
      <c r="I313" s="23">
        <v>46117</v>
      </c>
      <c r="J313" s="24">
        <v>45926</v>
      </c>
      <c r="K313" s="25">
        <f t="shared" si="25"/>
        <v>1471273</v>
      </c>
      <c r="L313" s="26" t="str">
        <f t="shared" si="26"/>
        <v>Mar 28</v>
      </c>
      <c r="M313" s="26" t="str">
        <f t="shared" si="27"/>
        <v>5928</v>
      </c>
      <c r="N313" s="23">
        <v>45933</v>
      </c>
      <c r="O313" s="25">
        <f t="shared" si="30"/>
        <v>1474042</v>
      </c>
      <c r="P313" s="27">
        <f t="shared" si="28"/>
        <v>90</v>
      </c>
      <c r="Q313" s="27">
        <f t="shared" si="29"/>
        <v>7</v>
      </c>
      <c r="R313" s="28" t="s">
        <v>22</v>
      </c>
      <c r="S313" s="21">
        <v>14000</v>
      </c>
      <c r="T313" s="18" t="s">
        <v>23</v>
      </c>
      <c r="U313" s="14"/>
    </row>
    <row r="314" spans="1:21" x14ac:dyDescent="0.2">
      <c r="A314" s="17">
        <v>312</v>
      </c>
      <c r="B314" s="18" t="s">
        <v>1434</v>
      </c>
      <c r="C314" s="19" t="s">
        <v>1435</v>
      </c>
      <c r="D314" s="20" t="s">
        <v>1436</v>
      </c>
      <c r="E314" s="21">
        <v>200000</v>
      </c>
      <c r="F314" s="20" t="s">
        <v>21</v>
      </c>
      <c r="G314" s="20" t="s">
        <v>21</v>
      </c>
      <c r="H314" s="22" t="s">
        <v>414</v>
      </c>
      <c r="I314" s="23" t="s">
        <v>85</v>
      </c>
      <c r="J314" s="24" t="s">
        <v>1307</v>
      </c>
      <c r="K314" s="25">
        <f t="shared" si="25"/>
        <v>45879</v>
      </c>
      <c r="L314" s="26" t="str">
        <f t="shared" si="26"/>
        <v>Aug 25</v>
      </c>
      <c r="M314" s="26" t="str">
        <f t="shared" si="27"/>
        <v>2025</v>
      </c>
      <c r="N314" s="23" t="s">
        <v>118</v>
      </c>
      <c r="O314" s="25">
        <f t="shared" si="30"/>
        <v>45931</v>
      </c>
      <c r="P314" s="27">
        <f t="shared" si="28"/>
        <v>1</v>
      </c>
      <c r="Q314" s="27">
        <f t="shared" si="29"/>
        <v>0</v>
      </c>
      <c r="R314" s="28" t="s">
        <v>65</v>
      </c>
      <c r="S314" s="21">
        <v>3016</v>
      </c>
      <c r="T314" s="18" t="s">
        <v>23</v>
      </c>
      <c r="U314" s="14"/>
    </row>
    <row r="315" spans="1:21" x14ac:dyDescent="0.2">
      <c r="A315" s="17">
        <v>313</v>
      </c>
      <c r="B315" s="18" t="s">
        <v>1437</v>
      </c>
      <c r="C315" s="19" t="s">
        <v>1438</v>
      </c>
      <c r="D315" s="20" t="s">
        <v>1439</v>
      </c>
      <c r="E315" s="21">
        <v>65000</v>
      </c>
      <c r="F315" s="20" t="s">
        <v>21</v>
      </c>
      <c r="G315" s="20" t="s">
        <v>21</v>
      </c>
      <c r="H315" s="22" t="s">
        <v>720</v>
      </c>
      <c r="I315" s="23" t="s">
        <v>1440</v>
      </c>
      <c r="J315" s="24" t="s">
        <v>722</v>
      </c>
      <c r="K315" s="25">
        <f t="shared" si="25"/>
        <v>45899</v>
      </c>
      <c r="L315" s="26" t="str">
        <f t="shared" si="26"/>
        <v>Aug 25</v>
      </c>
      <c r="M315" s="26" t="str">
        <f t="shared" si="27"/>
        <v>2025</v>
      </c>
      <c r="N315" s="23" t="s">
        <v>298</v>
      </c>
      <c r="O315" s="25">
        <f t="shared" si="30"/>
        <v>45936</v>
      </c>
      <c r="P315" s="27">
        <f t="shared" si="28"/>
        <v>1</v>
      </c>
      <c r="Q315" s="27">
        <f t="shared" si="29"/>
        <v>0</v>
      </c>
      <c r="R315" s="28" t="s">
        <v>894</v>
      </c>
      <c r="S315" s="21">
        <v>0</v>
      </c>
      <c r="T315" s="18" t="s">
        <v>23</v>
      </c>
      <c r="U315" s="14"/>
    </row>
    <row r="316" spans="1:21" x14ac:dyDescent="0.2">
      <c r="A316" s="17">
        <v>314</v>
      </c>
      <c r="B316" s="18" t="s">
        <v>1441</v>
      </c>
      <c r="C316" s="19" t="s">
        <v>1442</v>
      </c>
      <c r="D316" s="20" t="s">
        <v>1443</v>
      </c>
      <c r="E316" s="21">
        <v>210000</v>
      </c>
      <c r="F316" s="20" t="s">
        <v>21</v>
      </c>
      <c r="G316" s="20" t="s">
        <v>21</v>
      </c>
      <c r="H316" s="22" t="s">
        <v>118</v>
      </c>
      <c r="I316" s="23" t="s">
        <v>887</v>
      </c>
      <c r="J316" s="24" t="s">
        <v>1362</v>
      </c>
      <c r="K316" s="25">
        <f t="shared" si="25"/>
        <v>45908</v>
      </c>
      <c r="L316" s="26" t="str">
        <f t="shared" si="26"/>
        <v>Sep 25</v>
      </c>
      <c r="M316" s="26" t="str">
        <f t="shared" si="27"/>
        <v>2025</v>
      </c>
      <c r="N316" s="23" t="s">
        <v>298</v>
      </c>
      <c r="O316" s="25">
        <f t="shared" si="30"/>
        <v>45936</v>
      </c>
      <c r="P316" s="27">
        <f t="shared" si="28"/>
        <v>0</v>
      </c>
      <c r="Q316" s="27">
        <f t="shared" si="29"/>
        <v>0</v>
      </c>
      <c r="R316" s="28" t="s">
        <v>1444</v>
      </c>
      <c r="S316" s="21">
        <v>30564</v>
      </c>
      <c r="T316" s="18" t="s">
        <v>23</v>
      </c>
      <c r="U316" s="14"/>
    </row>
    <row r="317" spans="1:21" x14ac:dyDescent="0.2">
      <c r="A317" s="17">
        <v>315</v>
      </c>
      <c r="B317" s="18" t="s">
        <v>1445</v>
      </c>
      <c r="C317" s="19" t="s">
        <v>1446</v>
      </c>
      <c r="D317" s="20" t="s">
        <v>1447</v>
      </c>
      <c r="E317" s="21">
        <v>560270</v>
      </c>
      <c r="F317" s="20" t="s">
        <v>21</v>
      </c>
      <c r="G317" s="20" t="s">
        <v>21</v>
      </c>
      <c r="H317" s="22" t="s">
        <v>140</v>
      </c>
      <c r="I317" s="23" t="s">
        <v>141</v>
      </c>
      <c r="J317" s="24" t="s">
        <v>629</v>
      </c>
      <c r="K317" s="25">
        <f t="shared" si="25"/>
        <v>45911</v>
      </c>
      <c r="L317" s="26" t="str">
        <f t="shared" si="26"/>
        <v>Sep 25</v>
      </c>
      <c r="M317" s="26" t="str">
        <f t="shared" si="27"/>
        <v>2025</v>
      </c>
      <c r="N317" s="23" t="s">
        <v>1448</v>
      </c>
      <c r="O317" s="25">
        <f t="shared" si="30"/>
        <v>45912</v>
      </c>
      <c r="P317" s="27">
        <f t="shared" si="28"/>
        <v>0</v>
      </c>
      <c r="Q317" s="27">
        <f t="shared" si="29"/>
        <v>0</v>
      </c>
      <c r="R317" s="28" t="s">
        <v>1449</v>
      </c>
      <c r="S317" s="21">
        <v>31842</v>
      </c>
      <c r="T317" s="18" t="s">
        <v>23</v>
      </c>
      <c r="U317" s="14"/>
    </row>
    <row r="318" spans="1:21" x14ac:dyDescent="0.2">
      <c r="A318" s="17">
        <v>316</v>
      </c>
      <c r="B318" s="18" t="s">
        <v>1450</v>
      </c>
      <c r="C318" s="19" t="s">
        <v>1451</v>
      </c>
      <c r="D318" s="20" t="s">
        <v>1452</v>
      </c>
      <c r="E318" s="21">
        <v>2800896</v>
      </c>
      <c r="F318" s="20" t="s">
        <v>21</v>
      </c>
      <c r="G318" s="20" t="s">
        <v>21</v>
      </c>
      <c r="H318" s="22" t="s">
        <v>27</v>
      </c>
      <c r="I318" s="23" t="s">
        <v>34</v>
      </c>
      <c r="J318" s="24" t="s">
        <v>1391</v>
      </c>
      <c r="K318" s="25">
        <f t="shared" si="25"/>
        <v>45918</v>
      </c>
      <c r="L318" s="26" t="str">
        <f t="shared" si="26"/>
        <v>Sep 25</v>
      </c>
      <c r="M318" s="26" t="str">
        <f t="shared" si="27"/>
        <v>2025</v>
      </c>
      <c r="N318" s="23" t="s">
        <v>1453</v>
      </c>
      <c r="O318" s="25">
        <f t="shared" si="30"/>
        <v>45940</v>
      </c>
      <c r="P318" s="27">
        <f t="shared" si="28"/>
        <v>0</v>
      </c>
      <c r="Q318" s="27">
        <f t="shared" si="29"/>
        <v>0</v>
      </c>
      <c r="R318" s="28" t="s">
        <v>65</v>
      </c>
      <c r="S318" s="21">
        <v>48343</v>
      </c>
      <c r="T318" s="18" t="s">
        <v>23</v>
      </c>
      <c r="U318" s="14"/>
    </row>
    <row r="319" spans="1:21" x14ac:dyDescent="0.2">
      <c r="A319" s="17">
        <v>317</v>
      </c>
      <c r="B319" s="18" t="s">
        <v>895</v>
      </c>
      <c r="C319" s="19" t="s">
        <v>1454</v>
      </c>
      <c r="D319" s="20" t="s">
        <v>1455</v>
      </c>
      <c r="E319" s="21">
        <v>317000</v>
      </c>
      <c r="F319" s="20" t="s">
        <v>21</v>
      </c>
      <c r="G319" s="20" t="s">
        <v>21</v>
      </c>
      <c r="H319" s="22" t="s">
        <v>140</v>
      </c>
      <c r="I319" s="23" t="s">
        <v>141</v>
      </c>
      <c r="J319" s="24" t="s">
        <v>1017</v>
      </c>
      <c r="K319" s="25">
        <f t="shared" si="25"/>
        <v>45901</v>
      </c>
      <c r="L319" s="26" t="str">
        <f t="shared" si="26"/>
        <v>Sep 25</v>
      </c>
      <c r="M319" s="26" t="str">
        <f t="shared" si="27"/>
        <v>2025</v>
      </c>
      <c r="N319" s="23" t="s">
        <v>1453</v>
      </c>
      <c r="O319" s="25">
        <f t="shared" si="30"/>
        <v>45940</v>
      </c>
      <c r="P319" s="27">
        <f t="shared" si="28"/>
        <v>1</v>
      </c>
      <c r="Q319" s="27">
        <f t="shared" si="29"/>
        <v>0</v>
      </c>
      <c r="R319" s="28" t="s">
        <v>65</v>
      </c>
      <c r="S319" s="21">
        <v>19648</v>
      </c>
      <c r="T319" s="18" t="s">
        <v>23</v>
      </c>
      <c r="U319" s="14"/>
    </row>
    <row r="320" spans="1:21" x14ac:dyDescent="0.2">
      <c r="A320" s="17">
        <v>318</v>
      </c>
      <c r="B320" s="18" t="s">
        <v>895</v>
      </c>
      <c r="C320" s="19" t="s">
        <v>1456</v>
      </c>
      <c r="D320" s="20" t="s">
        <v>1457</v>
      </c>
      <c r="E320" s="21">
        <v>317000</v>
      </c>
      <c r="F320" s="20" t="s">
        <v>21</v>
      </c>
      <c r="G320" s="20" t="s">
        <v>21</v>
      </c>
      <c r="H320" s="22" t="s">
        <v>140</v>
      </c>
      <c r="I320" s="23" t="s">
        <v>141</v>
      </c>
      <c r="J320" s="24" t="s">
        <v>1458</v>
      </c>
      <c r="K320" s="25">
        <f t="shared" si="25"/>
        <v>45890</v>
      </c>
      <c r="L320" s="26" t="str">
        <f t="shared" si="26"/>
        <v>Aug 25</v>
      </c>
      <c r="M320" s="26" t="str">
        <f t="shared" si="27"/>
        <v>2025</v>
      </c>
      <c r="N320" s="23" t="s">
        <v>1453</v>
      </c>
      <c r="O320" s="25">
        <f t="shared" si="30"/>
        <v>45940</v>
      </c>
      <c r="P320" s="27">
        <f t="shared" si="28"/>
        <v>1</v>
      </c>
      <c r="Q320" s="27">
        <f t="shared" si="29"/>
        <v>0</v>
      </c>
      <c r="R320" s="28" t="s">
        <v>65</v>
      </c>
      <c r="S320" s="21">
        <v>12736</v>
      </c>
      <c r="T320" s="18" t="s">
        <v>23</v>
      </c>
      <c r="U320" s="14"/>
    </row>
    <row r="321" spans="1:21" x14ac:dyDescent="0.2">
      <c r="A321" s="17">
        <v>319</v>
      </c>
      <c r="B321" s="18" t="s">
        <v>895</v>
      </c>
      <c r="C321" s="19" t="s">
        <v>1459</v>
      </c>
      <c r="D321" s="20" t="s">
        <v>1460</v>
      </c>
      <c r="E321" s="21">
        <v>704414</v>
      </c>
      <c r="F321" s="20" t="s">
        <v>21</v>
      </c>
      <c r="G321" s="20" t="s">
        <v>21</v>
      </c>
      <c r="H321" s="22" t="s">
        <v>140</v>
      </c>
      <c r="I321" s="23" t="s">
        <v>141</v>
      </c>
      <c r="J321" s="24" t="s">
        <v>382</v>
      </c>
      <c r="K321" s="25">
        <f t="shared" si="25"/>
        <v>45932</v>
      </c>
      <c r="L321" s="26" t="str">
        <f t="shared" si="26"/>
        <v>Oct 25</v>
      </c>
      <c r="M321" s="26" t="str">
        <f t="shared" si="27"/>
        <v>2025</v>
      </c>
      <c r="N321" s="23" t="s">
        <v>1453</v>
      </c>
      <c r="O321" s="25">
        <f t="shared" si="30"/>
        <v>45940</v>
      </c>
      <c r="P321" s="27">
        <f t="shared" si="28"/>
        <v>0</v>
      </c>
      <c r="Q321" s="27">
        <f t="shared" si="29"/>
        <v>0</v>
      </c>
      <c r="R321" s="28" t="s">
        <v>65</v>
      </c>
      <c r="S321" s="21">
        <v>52170</v>
      </c>
      <c r="T321" s="18" t="s">
        <v>23</v>
      </c>
      <c r="U321" s="14"/>
    </row>
    <row r="322" spans="1:21" x14ac:dyDescent="0.2">
      <c r="A322" s="17">
        <v>320</v>
      </c>
      <c r="B322" s="18" t="s">
        <v>1461</v>
      </c>
      <c r="C322" s="19" t="s">
        <v>1462</v>
      </c>
      <c r="D322" s="20" t="s">
        <v>1463</v>
      </c>
      <c r="E322" s="21">
        <v>280000</v>
      </c>
      <c r="F322" s="20" t="s">
        <v>21</v>
      </c>
      <c r="G322" s="20" t="s">
        <v>21</v>
      </c>
      <c r="H322" s="22" t="s">
        <v>140</v>
      </c>
      <c r="I322" s="23" t="s">
        <v>1464</v>
      </c>
      <c r="J322" s="24" t="s">
        <v>914</v>
      </c>
      <c r="K322" s="25">
        <f t="shared" si="25"/>
        <v>45926</v>
      </c>
      <c r="L322" s="26" t="str">
        <f t="shared" si="26"/>
        <v>Sep 25</v>
      </c>
      <c r="M322" s="26" t="str">
        <f t="shared" si="27"/>
        <v>2025</v>
      </c>
      <c r="N322" s="23" t="s">
        <v>1453</v>
      </c>
      <c r="O322" s="25">
        <f t="shared" si="30"/>
        <v>45940</v>
      </c>
      <c r="P322" s="27">
        <f t="shared" si="28"/>
        <v>0</v>
      </c>
      <c r="Q322" s="27">
        <f t="shared" si="29"/>
        <v>0</v>
      </c>
      <c r="R322" s="28" t="s">
        <v>1465</v>
      </c>
      <c r="S322" s="21">
        <v>172000</v>
      </c>
      <c r="T322" s="18" t="s">
        <v>23</v>
      </c>
      <c r="U322" s="14"/>
    </row>
    <row r="323" spans="1:21" x14ac:dyDescent="0.2">
      <c r="A323" s="17">
        <v>321</v>
      </c>
      <c r="B323" s="18" t="s">
        <v>1466</v>
      </c>
      <c r="C323" s="19" t="s">
        <v>1467</v>
      </c>
      <c r="D323" s="20" t="s">
        <v>1468</v>
      </c>
      <c r="E323" s="21">
        <v>180000</v>
      </c>
      <c r="F323" s="20" t="s">
        <v>21</v>
      </c>
      <c r="G323" s="20" t="s">
        <v>21</v>
      </c>
      <c r="H323" s="22" t="s">
        <v>486</v>
      </c>
      <c r="I323" s="23" t="s">
        <v>511</v>
      </c>
      <c r="J323" s="24" t="s">
        <v>1469</v>
      </c>
      <c r="K323" s="25">
        <f t="shared" si="25"/>
        <v>45929</v>
      </c>
      <c r="L323" s="26" t="str">
        <f t="shared" si="26"/>
        <v>Sep 25</v>
      </c>
      <c r="M323" s="26" t="str">
        <f t="shared" si="27"/>
        <v>2025</v>
      </c>
      <c r="N323" s="23" t="s">
        <v>1453</v>
      </c>
      <c r="O323" s="25">
        <f t="shared" si="30"/>
        <v>45940</v>
      </c>
      <c r="P323" s="27">
        <f t="shared" si="28"/>
        <v>0</v>
      </c>
      <c r="Q323" s="27">
        <f t="shared" si="29"/>
        <v>0</v>
      </c>
      <c r="R323" s="28" t="s">
        <v>1470</v>
      </c>
      <c r="S323" s="21">
        <v>11448</v>
      </c>
      <c r="T323" s="18" t="s">
        <v>23</v>
      </c>
      <c r="U323" s="14"/>
    </row>
    <row r="324" spans="1:21" x14ac:dyDescent="0.2">
      <c r="A324" s="17">
        <v>322</v>
      </c>
      <c r="B324" s="18" t="s">
        <v>1120</v>
      </c>
      <c r="C324" s="19" t="s">
        <v>1471</v>
      </c>
      <c r="D324" s="20" t="s">
        <v>1472</v>
      </c>
      <c r="E324" s="21">
        <v>50000</v>
      </c>
      <c r="F324" s="20" t="s">
        <v>21</v>
      </c>
      <c r="G324" s="20" t="s">
        <v>21</v>
      </c>
      <c r="H324" s="22" t="s">
        <v>1114</v>
      </c>
      <c r="I324" s="23" t="s">
        <v>1473</v>
      </c>
      <c r="J324" s="24" t="s">
        <v>1387</v>
      </c>
      <c r="K324" s="25">
        <f t="shared" ref="K324:K387" si="31">DATE(RIGHT(J324,4),MID(J324,4,2),LEFT(J324,2))</f>
        <v>45910</v>
      </c>
      <c r="L324" s="26" t="str">
        <f t="shared" ref="L324:L387" si="32">TEXT(K324,"MMM YY")</f>
        <v>Sep 25</v>
      </c>
      <c r="M324" s="26" t="str">
        <f t="shared" ref="M324:M387" si="33">TEXT(K324,"yyyy")</f>
        <v>2025</v>
      </c>
      <c r="N324" s="23" t="s">
        <v>259</v>
      </c>
      <c r="O324" s="25">
        <f t="shared" si="30"/>
        <v>45938</v>
      </c>
      <c r="P324" s="27">
        <f t="shared" ref="P324:P387" si="34">DATEDIF(K324,O324,"M")</f>
        <v>0</v>
      </c>
      <c r="Q324" s="27">
        <f t="shared" ref="Q324:Q387" si="35">YEAR(O324)-YEAR(K324)</f>
        <v>0</v>
      </c>
      <c r="R324" s="28" t="s">
        <v>22</v>
      </c>
      <c r="S324" s="21">
        <v>16020</v>
      </c>
      <c r="T324" s="18" t="s">
        <v>23</v>
      </c>
      <c r="U324" s="14"/>
    </row>
    <row r="325" spans="1:21" x14ac:dyDescent="0.2">
      <c r="A325" s="17">
        <v>323</v>
      </c>
      <c r="B325" s="18" t="s">
        <v>1474</v>
      </c>
      <c r="C325" s="19" t="s">
        <v>1475</v>
      </c>
      <c r="D325" s="20" t="s">
        <v>1476</v>
      </c>
      <c r="E325" s="21">
        <v>100000</v>
      </c>
      <c r="F325" s="20" t="s">
        <v>21</v>
      </c>
      <c r="G325" s="20" t="s">
        <v>21</v>
      </c>
      <c r="H325" s="22" t="s">
        <v>140</v>
      </c>
      <c r="I325" s="23" t="s">
        <v>141</v>
      </c>
      <c r="J325" s="24" t="s">
        <v>1202</v>
      </c>
      <c r="K325" s="25">
        <f t="shared" si="31"/>
        <v>45935</v>
      </c>
      <c r="L325" s="26" t="str">
        <f t="shared" si="32"/>
        <v>Oct 25</v>
      </c>
      <c r="M325" s="26" t="str">
        <f t="shared" si="33"/>
        <v>2025</v>
      </c>
      <c r="N325" s="23" t="s">
        <v>1477</v>
      </c>
      <c r="O325" s="25">
        <f t="shared" si="30"/>
        <v>45943</v>
      </c>
      <c r="P325" s="27">
        <f t="shared" si="34"/>
        <v>0</v>
      </c>
      <c r="Q325" s="27">
        <f t="shared" si="35"/>
        <v>0</v>
      </c>
      <c r="R325" s="28" t="s">
        <v>22</v>
      </c>
      <c r="S325" s="21">
        <v>13050</v>
      </c>
      <c r="T325" s="18" t="s">
        <v>23</v>
      </c>
      <c r="U325" s="14"/>
    </row>
    <row r="326" spans="1:21" x14ac:dyDescent="0.2">
      <c r="A326" s="17">
        <v>324</v>
      </c>
      <c r="B326" s="18" t="s">
        <v>1478</v>
      </c>
      <c r="C326" s="19" t="s">
        <v>1479</v>
      </c>
      <c r="D326" s="20" t="s">
        <v>1480</v>
      </c>
      <c r="E326" s="21">
        <v>160000</v>
      </c>
      <c r="F326" s="20" t="s">
        <v>21</v>
      </c>
      <c r="G326" s="20" t="s">
        <v>21</v>
      </c>
      <c r="H326" s="22" t="s">
        <v>1145</v>
      </c>
      <c r="I326" s="23" t="s">
        <v>1481</v>
      </c>
      <c r="J326" s="24" t="s">
        <v>1482</v>
      </c>
      <c r="K326" s="25">
        <f t="shared" si="31"/>
        <v>45933</v>
      </c>
      <c r="L326" s="26" t="str">
        <f t="shared" si="32"/>
        <v>Oct 25</v>
      </c>
      <c r="M326" s="26" t="str">
        <f t="shared" si="33"/>
        <v>2025</v>
      </c>
      <c r="N326" s="23" t="s">
        <v>258</v>
      </c>
      <c r="O326" s="25">
        <f t="shared" si="30"/>
        <v>45945</v>
      </c>
      <c r="P326" s="27">
        <f t="shared" si="34"/>
        <v>0</v>
      </c>
      <c r="Q326" s="27">
        <f t="shared" si="35"/>
        <v>0</v>
      </c>
      <c r="R326" s="28" t="s">
        <v>22</v>
      </c>
      <c r="S326" s="21">
        <v>36450</v>
      </c>
      <c r="T326" s="18" t="s">
        <v>23</v>
      </c>
      <c r="U326" s="14"/>
    </row>
    <row r="327" spans="1:21" x14ac:dyDescent="0.2">
      <c r="A327" s="17">
        <v>325</v>
      </c>
      <c r="B327" s="18" t="s">
        <v>1483</v>
      </c>
      <c r="C327" s="19" t="s">
        <v>1484</v>
      </c>
      <c r="D327" s="20" t="s">
        <v>1485</v>
      </c>
      <c r="E327" s="21">
        <v>50000</v>
      </c>
      <c r="F327" s="20" t="s">
        <v>21</v>
      </c>
      <c r="G327" s="20" t="s">
        <v>21</v>
      </c>
      <c r="H327" s="22" t="s">
        <v>140</v>
      </c>
      <c r="I327" s="23" t="s">
        <v>141</v>
      </c>
      <c r="J327" s="24" t="s">
        <v>1368</v>
      </c>
      <c r="K327" s="25">
        <f t="shared" si="31"/>
        <v>45917</v>
      </c>
      <c r="L327" s="26" t="str">
        <f t="shared" si="32"/>
        <v>Sep 25</v>
      </c>
      <c r="M327" s="26" t="str">
        <f t="shared" si="33"/>
        <v>2025</v>
      </c>
      <c r="N327" s="23" t="s">
        <v>1486</v>
      </c>
      <c r="O327" s="25">
        <f t="shared" si="30"/>
        <v>45944</v>
      </c>
      <c r="P327" s="27">
        <f t="shared" si="34"/>
        <v>0</v>
      </c>
      <c r="Q327" s="27">
        <f t="shared" si="35"/>
        <v>0</v>
      </c>
      <c r="R327" s="28" t="s">
        <v>22</v>
      </c>
      <c r="S327" s="21">
        <v>15184</v>
      </c>
      <c r="T327" s="18" t="s">
        <v>23</v>
      </c>
      <c r="U327" s="14"/>
    </row>
    <row r="328" spans="1:21" x14ac:dyDescent="0.2">
      <c r="A328" s="17">
        <v>326</v>
      </c>
      <c r="B328" s="18" t="s">
        <v>1487</v>
      </c>
      <c r="C328" s="19" t="s">
        <v>1488</v>
      </c>
      <c r="D328" s="20" t="s">
        <v>1489</v>
      </c>
      <c r="E328" s="21">
        <v>205473.39</v>
      </c>
      <c r="F328" s="20" t="s">
        <v>21</v>
      </c>
      <c r="G328" s="20" t="s">
        <v>21</v>
      </c>
      <c r="H328" s="22" t="s">
        <v>140</v>
      </c>
      <c r="I328" s="23" t="s">
        <v>141</v>
      </c>
      <c r="J328" s="24" t="s">
        <v>1202</v>
      </c>
      <c r="K328" s="25">
        <f t="shared" si="31"/>
        <v>45935</v>
      </c>
      <c r="L328" s="26" t="str">
        <f t="shared" si="32"/>
        <v>Oct 25</v>
      </c>
      <c r="M328" s="26" t="str">
        <f t="shared" si="33"/>
        <v>2025</v>
      </c>
      <c r="N328" s="23" t="s">
        <v>1490</v>
      </c>
      <c r="O328" s="25">
        <f t="shared" si="30"/>
        <v>45937</v>
      </c>
      <c r="P328" s="27">
        <f t="shared" si="34"/>
        <v>0</v>
      </c>
      <c r="Q328" s="27">
        <f t="shared" si="35"/>
        <v>0</v>
      </c>
      <c r="R328" s="28" t="s">
        <v>22</v>
      </c>
      <c r="S328" s="21">
        <v>5220</v>
      </c>
      <c r="T328" s="18" t="s">
        <v>23</v>
      </c>
      <c r="U328" s="14"/>
    </row>
    <row r="329" spans="1:21" x14ac:dyDescent="0.2">
      <c r="A329" s="17">
        <v>327</v>
      </c>
      <c r="B329" s="18" t="s">
        <v>1491</v>
      </c>
      <c r="C329" s="19" t="s">
        <v>1492</v>
      </c>
      <c r="D329" s="20" t="s">
        <v>1493</v>
      </c>
      <c r="E329" s="21">
        <v>120000</v>
      </c>
      <c r="F329" s="20" t="s">
        <v>21</v>
      </c>
      <c r="G329" s="20" t="s">
        <v>21</v>
      </c>
      <c r="H329" s="22" t="s">
        <v>1494</v>
      </c>
      <c r="I329" s="23" t="s">
        <v>1128</v>
      </c>
      <c r="J329" s="24" t="s">
        <v>1495</v>
      </c>
      <c r="K329" s="25">
        <f t="shared" si="31"/>
        <v>45920</v>
      </c>
      <c r="L329" s="26" t="str">
        <f t="shared" si="32"/>
        <v>Sep 25</v>
      </c>
      <c r="M329" s="26" t="str">
        <f t="shared" si="33"/>
        <v>2025</v>
      </c>
      <c r="N329" s="23" t="s">
        <v>1496</v>
      </c>
      <c r="O329" s="25">
        <f t="shared" si="30"/>
        <v>45947</v>
      </c>
      <c r="P329" s="27">
        <f t="shared" si="34"/>
        <v>0</v>
      </c>
      <c r="Q329" s="27">
        <f t="shared" si="35"/>
        <v>0</v>
      </c>
      <c r="R329" s="28" t="s">
        <v>1497</v>
      </c>
      <c r="S329" s="21">
        <v>73076</v>
      </c>
      <c r="T329" s="18" t="s">
        <v>23</v>
      </c>
      <c r="U329" s="14"/>
    </row>
    <row r="330" spans="1:21" x14ac:dyDescent="0.2">
      <c r="A330" s="17">
        <v>328</v>
      </c>
      <c r="B330" s="18" t="s">
        <v>1498</v>
      </c>
      <c r="C330" s="19" t="s">
        <v>1499</v>
      </c>
      <c r="D330" s="20" t="s">
        <v>1500</v>
      </c>
      <c r="E330" s="21">
        <v>60000</v>
      </c>
      <c r="F330" s="20" t="s">
        <v>21</v>
      </c>
      <c r="G330" s="20" t="s">
        <v>21</v>
      </c>
      <c r="H330" s="22" t="s">
        <v>140</v>
      </c>
      <c r="I330" s="23" t="s">
        <v>141</v>
      </c>
      <c r="J330" s="24" t="s">
        <v>1322</v>
      </c>
      <c r="K330" s="25">
        <f t="shared" si="31"/>
        <v>45905</v>
      </c>
      <c r="L330" s="26" t="str">
        <f t="shared" si="32"/>
        <v>Sep 25</v>
      </c>
      <c r="M330" s="26" t="str">
        <f t="shared" si="33"/>
        <v>2025</v>
      </c>
      <c r="N330" s="23" t="s">
        <v>1486</v>
      </c>
      <c r="O330" s="25">
        <f t="shared" si="30"/>
        <v>45944</v>
      </c>
      <c r="P330" s="27">
        <f t="shared" si="34"/>
        <v>1</v>
      </c>
      <c r="Q330" s="27">
        <f t="shared" si="35"/>
        <v>0</v>
      </c>
      <c r="R330" s="28" t="s">
        <v>1501</v>
      </c>
      <c r="S330" s="21">
        <v>54000</v>
      </c>
      <c r="T330" s="18" t="s">
        <v>23</v>
      </c>
      <c r="U330" s="14"/>
    </row>
    <row r="331" spans="1:21" x14ac:dyDescent="0.2">
      <c r="A331" s="17">
        <v>329</v>
      </c>
      <c r="B331" s="18" t="s">
        <v>1502</v>
      </c>
      <c r="C331" s="19" t="s">
        <v>1503</v>
      </c>
      <c r="D331" s="20" t="s">
        <v>1504</v>
      </c>
      <c r="E331" s="21">
        <v>70000</v>
      </c>
      <c r="F331" s="20" t="s">
        <v>21</v>
      </c>
      <c r="G331" s="20"/>
      <c r="H331" s="22" t="s">
        <v>1505</v>
      </c>
      <c r="I331" s="23" t="s">
        <v>369</v>
      </c>
      <c r="J331" s="24" t="s">
        <v>1056</v>
      </c>
      <c r="K331" s="25">
        <f t="shared" si="31"/>
        <v>45847</v>
      </c>
      <c r="L331" s="26" t="str">
        <f t="shared" si="32"/>
        <v>Jul 25</v>
      </c>
      <c r="M331" s="26" t="str">
        <f t="shared" si="33"/>
        <v>2025</v>
      </c>
      <c r="N331" s="23" t="s">
        <v>1496</v>
      </c>
      <c r="O331" s="25">
        <f t="shared" si="30"/>
        <v>45947</v>
      </c>
      <c r="P331" s="27">
        <f t="shared" si="34"/>
        <v>3</v>
      </c>
      <c r="Q331" s="27">
        <f t="shared" si="35"/>
        <v>0</v>
      </c>
      <c r="R331" s="28" t="s">
        <v>894</v>
      </c>
      <c r="S331" s="21">
        <v>0</v>
      </c>
      <c r="T331" s="18" t="s">
        <v>23</v>
      </c>
      <c r="U331" s="14"/>
    </row>
    <row r="332" spans="1:21" x14ac:dyDescent="0.2">
      <c r="A332" s="17">
        <v>330</v>
      </c>
      <c r="B332" s="18" t="s">
        <v>1506</v>
      </c>
      <c r="C332" s="19" t="s">
        <v>1507</v>
      </c>
      <c r="D332" s="20" t="s">
        <v>1504</v>
      </c>
      <c r="E332" s="21">
        <v>70000</v>
      </c>
      <c r="F332" s="20" t="s">
        <v>21</v>
      </c>
      <c r="G332" s="20"/>
      <c r="H332" s="22" t="s">
        <v>368</v>
      </c>
      <c r="I332" s="23" t="s">
        <v>369</v>
      </c>
      <c r="J332" s="24" t="s">
        <v>1490</v>
      </c>
      <c r="K332" s="25">
        <f t="shared" si="31"/>
        <v>45937</v>
      </c>
      <c r="L332" s="26" t="str">
        <f t="shared" si="32"/>
        <v>Oct 25</v>
      </c>
      <c r="M332" s="26" t="str">
        <f t="shared" si="33"/>
        <v>2025</v>
      </c>
      <c r="N332" s="23"/>
      <c r="O332" s="25" t="e">
        <f t="shared" si="30"/>
        <v>#VALUE!</v>
      </c>
      <c r="P332" s="27" t="e">
        <f t="shared" si="34"/>
        <v>#VALUE!</v>
      </c>
      <c r="Q332" s="27" t="e">
        <f t="shared" si="35"/>
        <v>#VALUE!</v>
      </c>
      <c r="R332" s="28" t="s">
        <v>65</v>
      </c>
      <c r="S332" s="21">
        <v>8550</v>
      </c>
      <c r="T332" s="18" t="s">
        <v>23</v>
      </c>
      <c r="U332" s="14"/>
    </row>
    <row r="333" spans="1:21" x14ac:dyDescent="0.2">
      <c r="A333" s="17">
        <v>331</v>
      </c>
      <c r="B333" s="18" t="s">
        <v>1508</v>
      </c>
      <c r="C333" s="19" t="s">
        <v>1509</v>
      </c>
      <c r="D333" s="20" t="s">
        <v>1510</v>
      </c>
      <c r="E333" s="21">
        <v>60000</v>
      </c>
      <c r="F333" s="20" t="s">
        <v>21</v>
      </c>
      <c r="G333" s="20" t="s">
        <v>21</v>
      </c>
      <c r="H333" s="22" t="s">
        <v>140</v>
      </c>
      <c r="I333" s="23" t="s">
        <v>141</v>
      </c>
      <c r="J333" s="24" t="s">
        <v>1362</v>
      </c>
      <c r="K333" s="25">
        <f t="shared" si="31"/>
        <v>45908</v>
      </c>
      <c r="L333" s="26" t="str">
        <f t="shared" si="32"/>
        <v>Sep 25</v>
      </c>
      <c r="M333" s="26" t="str">
        <f t="shared" si="33"/>
        <v>2025</v>
      </c>
      <c r="N333" s="23" t="s">
        <v>1496</v>
      </c>
      <c r="O333" s="25">
        <f t="shared" si="30"/>
        <v>45947</v>
      </c>
      <c r="P333" s="27">
        <f t="shared" si="34"/>
        <v>1</v>
      </c>
      <c r="Q333" s="27">
        <f t="shared" si="35"/>
        <v>0</v>
      </c>
      <c r="R333" s="28" t="s">
        <v>92</v>
      </c>
      <c r="S333" s="21">
        <v>54000</v>
      </c>
      <c r="T333" s="18" t="s">
        <v>23</v>
      </c>
      <c r="U333" s="14"/>
    </row>
    <row r="334" spans="1:21" x14ac:dyDescent="0.2">
      <c r="A334" s="17">
        <v>332</v>
      </c>
      <c r="B334" s="18" t="s">
        <v>1511</v>
      </c>
      <c r="C334" s="19" t="s">
        <v>1512</v>
      </c>
      <c r="D334" s="20" t="s">
        <v>1513</v>
      </c>
      <c r="E334" s="21">
        <v>50000</v>
      </c>
      <c r="F334" s="20" t="s">
        <v>21</v>
      </c>
      <c r="G334" s="20" t="s">
        <v>21</v>
      </c>
      <c r="H334" s="22" t="s">
        <v>142</v>
      </c>
      <c r="I334" s="23" t="s">
        <v>141</v>
      </c>
      <c r="J334" s="24" t="s">
        <v>1514</v>
      </c>
      <c r="K334" s="25">
        <f t="shared" si="31"/>
        <v>91579</v>
      </c>
      <c r="L334" s="26" t="str">
        <f t="shared" si="32"/>
        <v>Sep 50</v>
      </c>
      <c r="M334" s="26" t="str">
        <f t="shared" si="33"/>
        <v>2150</v>
      </c>
      <c r="N334" s="23" t="s">
        <v>1395</v>
      </c>
      <c r="O334" s="25">
        <f t="shared" si="30"/>
        <v>45914</v>
      </c>
      <c r="P334" s="27" t="e">
        <f t="shared" si="34"/>
        <v>#NUM!</v>
      </c>
      <c r="Q334" s="27">
        <f t="shared" si="35"/>
        <v>-125</v>
      </c>
      <c r="R334" s="28" t="s">
        <v>22</v>
      </c>
      <c r="S334" s="21">
        <v>13248</v>
      </c>
      <c r="T334" s="18" t="s">
        <v>23</v>
      </c>
      <c r="U334" s="14"/>
    </row>
    <row r="335" spans="1:21" x14ac:dyDescent="0.2">
      <c r="A335" s="17">
        <v>333</v>
      </c>
      <c r="B335" s="18" t="s">
        <v>1515</v>
      </c>
      <c r="C335" s="19" t="s">
        <v>1516</v>
      </c>
      <c r="D335" s="20" t="s">
        <v>1517</v>
      </c>
      <c r="E335" s="21">
        <v>80000</v>
      </c>
      <c r="F335" s="20" t="s">
        <v>21</v>
      </c>
      <c r="G335" s="20" t="s">
        <v>21</v>
      </c>
      <c r="H335" s="22" t="s">
        <v>152</v>
      </c>
      <c r="I335" s="23" t="s">
        <v>510</v>
      </c>
      <c r="J335" s="24" t="s">
        <v>1518</v>
      </c>
      <c r="K335" s="25">
        <f t="shared" si="31"/>
        <v>45941</v>
      </c>
      <c r="L335" s="26" t="str">
        <f t="shared" si="32"/>
        <v>Oct 25</v>
      </c>
      <c r="M335" s="26" t="str">
        <f t="shared" si="33"/>
        <v>2025</v>
      </c>
      <c r="N335" s="23" t="s">
        <v>1486</v>
      </c>
      <c r="O335" s="25">
        <f t="shared" si="30"/>
        <v>45944</v>
      </c>
      <c r="P335" s="27">
        <f t="shared" si="34"/>
        <v>0</v>
      </c>
      <c r="Q335" s="27">
        <f t="shared" si="35"/>
        <v>0</v>
      </c>
      <c r="R335" s="28" t="s">
        <v>1519</v>
      </c>
      <c r="S335" s="21">
        <v>69300</v>
      </c>
      <c r="T335" s="18" t="s">
        <v>23</v>
      </c>
      <c r="U335" s="14"/>
    </row>
    <row r="336" spans="1:21" x14ac:dyDescent="0.2">
      <c r="A336" s="17">
        <v>334</v>
      </c>
      <c r="B336" s="18" t="s">
        <v>1520</v>
      </c>
      <c r="C336" s="19" t="s">
        <v>1521</v>
      </c>
      <c r="D336" s="20" t="s">
        <v>1522</v>
      </c>
      <c r="E336" s="21">
        <v>130000</v>
      </c>
      <c r="F336" s="20" t="s">
        <v>21</v>
      </c>
      <c r="G336" s="20" t="s">
        <v>21</v>
      </c>
      <c r="H336" s="22" t="s">
        <v>118</v>
      </c>
      <c r="I336" s="23" t="s">
        <v>76</v>
      </c>
      <c r="J336" s="24" t="s">
        <v>1523</v>
      </c>
      <c r="K336" s="25">
        <f t="shared" si="31"/>
        <v>45946</v>
      </c>
      <c r="L336" s="26" t="str">
        <f t="shared" si="32"/>
        <v>Oct 25</v>
      </c>
      <c r="M336" s="26" t="str">
        <f t="shared" si="33"/>
        <v>2025</v>
      </c>
      <c r="N336" s="23" t="s">
        <v>1496</v>
      </c>
      <c r="O336" s="25">
        <f t="shared" si="30"/>
        <v>45947</v>
      </c>
      <c r="P336" s="27">
        <f t="shared" si="34"/>
        <v>0</v>
      </c>
      <c r="Q336" s="27">
        <f t="shared" si="35"/>
        <v>0</v>
      </c>
      <c r="R336" s="28" t="s">
        <v>22</v>
      </c>
      <c r="S336" s="21">
        <v>23535</v>
      </c>
      <c r="T336" s="18" t="s">
        <v>23</v>
      </c>
      <c r="U336" s="14"/>
    </row>
    <row r="337" spans="1:21" x14ac:dyDescent="0.2">
      <c r="A337" s="17">
        <v>335</v>
      </c>
      <c r="B337" s="18" t="s">
        <v>1524</v>
      </c>
      <c r="C337" s="19" t="s">
        <v>1525</v>
      </c>
      <c r="D337" s="20" t="s">
        <v>1526</v>
      </c>
      <c r="E337" s="21">
        <v>100000</v>
      </c>
      <c r="F337" s="20" t="s">
        <v>21</v>
      </c>
      <c r="G337" s="20" t="s">
        <v>21</v>
      </c>
      <c r="H337" s="22" t="s">
        <v>1527</v>
      </c>
      <c r="I337" s="23" t="s">
        <v>1528</v>
      </c>
      <c r="J337" s="24" t="s">
        <v>878</v>
      </c>
      <c r="K337" s="25">
        <f t="shared" si="31"/>
        <v>45813</v>
      </c>
      <c r="L337" s="26" t="str">
        <f t="shared" si="32"/>
        <v>Jun 25</v>
      </c>
      <c r="M337" s="26" t="str">
        <f t="shared" si="33"/>
        <v>2025</v>
      </c>
      <c r="N337" s="23" t="s">
        <v>1391</v>
      </c>
      <c r="O337" s="25">
        <f t="shared" si="30"/>
        <v>45918</v>
      </c>
      <c r="P337" s="27">
        <f t="shared" si="34"/>
        <v>3</v>
      </c>
      <c r="Q337" s="27">
        <f t="shared" si="35"/>
        <v>0</v>
      </c>
      <c r="R337" s="28" t="s">
        <v>22</v>
      </c>
      <c r="S337" s="21">
        <v>9900</v>
      </c>
      <c r="T337" s="18" t="s">
        <v>23</v>
      </c>
      <c r="U337" s="14"/>
    </row>
    <row r="338" spans="1:21" x14ac:dyDescent="0.2">
      <c r="A338" s="17">
        <v>336</v>
      </c>
      <c r="B338" s="18" t="s">
        <v>438</v>
      </c>
      <c r="C338" s="19" t="s">
        <v>439</v>
      </c>
      <c r="D338" s="20" t="s">
        <v>1529</v>
      </c>
      <c r="E338" s="21">
        <v>70000</v>
      </c>
      <c r="F338" s="20" t="s">
        <v>21</v>
      </c>
      <c r="G338" s="20" t="s">
        <v>21</v>
      </c>
      <c r="H338" s="22" t="s">
        <v>140</v>
      </c>
      <c r="I338" s="23" t="s">
        <v>141</v>
      </c>
      <c r="J338" s="24" t="s">
        <v>1453</v>
      </c>
      <c r="K338" s="25">
        <f t="shared" si="31"/>
        <v>45940</v>
      </c>
      <c r="L338" s="26" t="str">
        <f t="shared" si="32"/>
        <v>Oct 25</v>
      </c>
      <c r="M338" s="26" t="str">
        <f t="shared" si="33"/>
        <v>2025</v>
      </c>
      <c r="N338" s="23" t="s">
        <v>1530</v>
      </c>
      <c r="O338" s="25">
        <f t="shared" si="30"/>
        <v>45951</v>
      </c>
      <c r="P338" s="27">
        <f t="shared" si="34"/>
        <v>0</v>
      </c>
      <c r="Q338" s="27">
        <f t="shared" si="35"/>
        <v>0</v>
      </c>
      <c r="R338" s="28" t="s">
        <v>22</v>
      </c>
      <c r="S338" s="21">
        <v>21360</v>
      </c>
      <c r="T338" s="18" t="s">
        <v>23</v>
      </c>
      <c r="U338" s="14"/>
    </row>
    <row r="339" spans="1:21" x14ac:dyDescent="0.2">
      <c r="A339" s="17">
        <v>337</v>
      </c>
      <c r="B339" s="18" t="s">
        <v>1531</v>
      </c>
      <c r="C339" s="19" t="s">
        <v>1532</v>
      </c>
      <c r="D339" s="20" t="s">
        <v>1533</v>
      </c>
      <c r="E339" s="21">
        <v>125000</v>
      </c>
      <c r="F339" s="20" t="s">
        <v>21</v>
      </c>
      <c r="G339" s="20" t="s">
        <v>21</v>
      </c>
      <c r="H339" s="22" t="s">
        <v>403</v>
      </c>
      <c r="I339" s="23" t="s">
        <v>141</v>
      </c>
      <c r="J339" s="24" t="s">
        <v>1284</v>
      </c>
      <c r="K339" s="25">
        <f t="shared" si="31"/>
        <v>45866</v>
      </c>
      <c r="L339" s="26" t="str">
        <f t="shared" si="32"/>
        <v>Jul 25</v>
      </c>
      <c r="M339" s="26" t="str">
        <f t="shared" si="33"/>
        <v>2025</v>
      </c>
      <c r="N339" s="23" t="s">
        <v>1496</v>
      </c>
      <c r="O339" s="25">
        <f t="shared" ref="O339:O402" si="36">DATE(RIGHT(N339,4),MID(N339,4,2),LEFT(N339,2))</f>
        <v>45947</v>
      </c>
      <c r="P339" s="27">
        <f t="shared" si="34"/>
        <v>2</v>
      </c>
      <c r="Q339" s="27">
        <f t="shared" si="35"/>
        <v>0</v>
      </c>
      <c r="R339" s="28" t="s">
        <v>22</v>
      </c>
      <c r="S339" s="21">
        <v>14969.18</v>
      </c>
      <c r="T339" s="18" t="s">
        <v>23</v>
      </c>
      <c r="U339" s="14"/>
    </row>
    <row r="340" spans="1:21" x14ac:dyDescent="0.2">
      <c r="A340" s="17">
        <v>338</v>
      </c>
      <c r="B340" s="18" t="s">
        <v>895</v>
      </c>
      <c r="C340" s="19" t="s">
        <v>1534</v>
      </c>
      <c r="D340" s="20" t="s">
        <v>1535</v>
      </c>
      <c r="E340" s="21">
        <v>1500000</v>
      </c>
      <c r="F340" s="20" t="s">
        <v>21</v>
      </c>
      <c r="G340" s="20" t="s">
        <v>21</v>
      </c>
      <c r="H340" s="22" t="s">
        <v>140</v>
      </c>
      <c r="I340" s="23" t="s">
        <v>141</v>
      </c>
      <c r="J340" s="24" t="s">
        <v>1536</v>
      </c>
      <c r="K340" s="25">
        <f t="shared" si="31"/>
        <v>45934</v>
      </c>
      <c r="L340" s="26" t="str">
        <f t="shared" si="32"/>
        <v>Oct 25</v>
      </c>
      <c r="M340" s="26" t="str">
        <f t="shared" si="33"/>
        <v>2025</v>
      </c>
      <c r="N340" s="23" t="s">
        <v>1537</v>
      </c>
      <c r="O340" s="25">
        <f t="shared" si="36"/>
        <v>45959</v>
      </c>
      <c r="P340" s="27">
        <f t="shared" si="34"/>
        <v>0</v>
      </c>
      <c r="Q340" s="27">
        <f t="shared" si="35"/>
        <v>0</v>
      </c>
      <c r="R340" s="28" t="s">
        <v>22</v>
      </c>
      <c r="S340" s="21">
        <v>4050</v>
      </c>
      <c r="T340" s="18" t="s">
        <v>23</v>
      </c>
      <c r="U340" s="14"/>
    </row>
    <row r="341" spans="1:21" x14ac:dyDescent="0.2">
      <c r="A341" s="17">
        <v>339</v>
      </c>
      <c r="B341" s="18" t="s">
        <v>895</v>
      </c>
      <c r="C341" s="19" t="s">
        <v>1538</v>
      </c>
      <c r="D341" s="20" t="s">
        <v>1539</v>
      </c>
      <c r="E341" s="21">
        <v>644242</v>
      </c>
      <c r="F341" s="20" t="s">
        <v>21</v>
      </c>
      <c r="G341" s="20" t="s">
        <v>21</v>
      </c>
      <c r="H341" s="22" t="s">
        <v>140</v>
      </c>
      <c r="I341" s="23" t="s">
        <v>141</v>
      </c>
      <c r="J341" s="24" t="s">
        <v>85</v>
      </c>
      <c r="K341" s="25">
        <f t="shared" si="31"/>
        <v>45939</v>
      </c>
      <c r="L341" s="26" t="str">
        <f t="shared" si="32"/>
        <v>Oct 25</v>
      </c>
      <c r="M341" s="26" t="str">
        <f t="shared" si="33"/>
        <v>2025</v>
      </c>
      <c r="N341" s="23" t="s">
        <v>1537</v>
      </c>
      <c r="O341" s="25">
        <f t="shared" si="36"/>
        <v>45959</v>
      </c>
      <c r="P341" s="27">
        <f t="shared" si="34"/>
        <v>0</v>
      </c>
      <c r="Q341" s="27">
        <f t="shared" si="35"/>
        <v>0</v>
      </c>
      <c r="R341" s="28" t="s">
        <v>22</v>
      </c>
      <c r="S341" s="21">
        <v>23552.639999999999</v>
      </c>
      <c r="T341" s="18" t="s">
        <v>23</v>
      </c>
      <c r="U341" s="14"/>
    </row>
    <row r="342" spans="1:21" x14ac:dyDescent="0.2">
      <c r="A342" s="17">
        <v>340</v>
      </c>
      <c r="B342" s="18" t="s">
        <v>895</v>
      </c>
      <c r="C342" s="19" t="s">
        <v>1540</v>
      </c>
      <c r="D342" s="20" t="s">
        <v>1541</v>
      </c>
      <c r="E342" s="21">
        <v>317000</v>
      </c>
      <c r="F342" s="20" t="s">
        <v>21</v>
      </c>
      <c r="G342" s="20" t="s">
        <v>21</v>
      </c>
      <c r="H342" s="22" t="s">
        <v>140</v>
      </c>
      <c r="I342" s="23" t="s">
        <v>141</v>
      </c>
      <c r="J342" s="24" t="s">
        <v>1482</v>
      </c>
      <c r="K342" s="25">
        <f t="shared" si="31"/>
        <v>45933</v>
      </c>
      <c r="L342" s="26" t="str">
        <f t="shared" si="32"/>
        <v>Oct 25</v>
      </c>
      <c r="M342" s="26" t="str">
        <f t="shared" si="33"/>
        <v>2025</v>
      </c>
      <c r="N342" s="23" t="s">
        <v>1537</v>
      </c>
      <c r="O342" s="25">
        <f t="shared" si="36"/>
        <v>45959</v>
      </c>
      <c r="P342" s="27">
        <f t="shared" si="34"/>
        <v>0</v>
      </c>
      <c r="Q342" s="27">
        <f t="shared" si="35"/>
        <v>0</v>
      </c>
      <c r="R342" s="28" t="s">
        <v>22</v>
      </c>
      <c r="S342" s="21">
        <v>11250</v>
      </c>
      <c r="T342" s="18" t="s">
        <v>23</v>
      </c>
      <c r="U342" s="14"/>
    </row>
    <row r="343" spans="1:21" x14ac:dyDescent="0.2">
      <c r="A343" s="17">
        <v>341</v>
      </c>
      <c r="B343" s="18" t="s">
        <v>1542</v>
      </c>
      <c r="C343" s="19" t="s">
        <v>1543</v>
      </c>
      <c r="D343" s="20" t="s">
        <v>1544</v>
      </c>
      <c r="E343" s="21">
        <v>150000</v>
      </c>
      <c r="F343" s="20" t="s">
        <v>21</v>
      </c>
      <c r="G343" s="20" t="s">
        <v>21</v>
      </c>
      <c r="H343" s="22" t="s">
        <v>369</v>
      </c>
      <c r="I343" s="23" t="s">
        <v>1518</v>
      </c>
      <c r="J343" s="24" t="s">
        <v>1482</v>
      </c>
      <c r="K343" s="25">
        <f t="shared" si="31"/>
        <v>45933</v>
      </c>
      <c r="L343" s="26" t="str">
        <f t="shared" si="32"/>
        <v>Oct 25</v>
      </c>
      <c r="M343" s="26" t="str">
        <f t="shared" si="33"/>
        <v>2025</v>
      </c>
      <c r="N343" s="23" t="s">
        <v>61</v>
      </c>
      <c r="O343" s="25">
        <f t="shared" si="36"/>
        <v>45958</v>
      </c>
      <c r="P343" s="27">
        <f t="shared" si="34"/>
        <v>0</v>
      </c>
      <c r="Q343" s="27">
        <f t="shared" si="35"/>
        <v>0</v>
      </c>
      <c r="R343" s="28" t="s">
        <v>22</v>
      </c>
      <c r="S343" s="21">
        <v>20790</v>
      </c>
      <c r="T343" s="18" t="s">
        <v>23</v>
      </c>
      <c r="U343" s="14"/>
    </row>
    <row r="344" spans="1:21" x14ac:dyDescent="0.2">
      <c r="A344" s="17">
        <v>342</v>
      </c>
      <c r="B344" s="18" t="s">
        <v>895</v>
      </c>
      <c r="C344" s="19" t="s">
        <v>1545</v>
      </c>
      <c r="D344" s="20" t="s">
        <v>1546</v>
      </c>
      <c r="E344" s="21">
        <v>644242</v>
      </c>
      <c r="F344" s="20" t="s">
        <v>21</v>
      </c>
      <c r="G344" s="20" t="s">
        <v>21</v>
      </c>
      <c r="H344" s="22" t="s">
        <v>140</v>
      </c>
      <c r="I344" s="23" t="s">
        <v>141</v>
      </c>
      <c r="J344" s="24" t="s">
        <v>1490</v>
      </c>
      <c r="K344" s="25">
        <f t="shared" si="31"/>
        <v>45937</v>
      </c>
      <c r="L344" s="26" t="str">
        <f t="shared" si="32"/>
        <v>Oct 25</v>
      </c>
      <c r="M344" s="26" t="str">
        <f t="shared" si="33"/>
        <v>2025</v>
      </c>
      <c r="N344" s="23" t="s">
        <v>1537</v>
      </c>
      <c r="O344" s="25">
        <f t="shared" si="36"/>
        <v>45959</v>
      </c>
      <c r="P344" s="27">
        <f t="shared" si="34"/>
        <v>0</v>
      </c>
      <c r="Q344" s="27">
        <f t="shared" si="35"/>
        <v>0</v>
      </c>
      <c r="R344" s="28" t="s">
        <v>65</v>
      </c>
      <c r="S344" s="21">
        <v>48546</v>
      </c>
      <c r="T344" s="18" t="s">
        <v>23</v>
      </c>
      <c r="U344" s="14"/>
    </row>
    <row r="345" spans="1:21" x14ac:dyDescent="0.2">
      <c r="A345" s="17">
        <v>343</v>
      </c>
      <c r="B345" s="18" t="s">
        <v>1547</v>
      </c>
      <c r="C345" s="19" t="s">
        <v>1548</v>
      </c>
      <c r="D345" s="20" t="s">
        <v>1546</v>
      </c>
      <c r="E345" s="21">
        <v>50000</v>
      </c>
      <c r="F345" s="20" t="s">
        <v>21</v>
      </c>
      <c r="G345" s="20" t="s">
        <v>21</v>
      </c>
      <c r="H345" s="22" t="s">
        <v>27</v>
      </c>
      <c r="I345" s="23" t="s">
        <v>34</v>
      </c>
      <c r="J345" s="24" t="s">
        <v>1537</v>
      </c>
      <c r="K345" s="25">
        <f t="shared" si="31"/>
        <v>45959</v>
      </c>
      <c r="L345" s="26" t="str">
        <f t="shared" si="32"/>
        <v>Oct 25</v>
      </c>
      <c r="M345" s="26" t="str">
        <f t="shared" si="33"/>
        <v>2025</v>
      </c>
      <c r="N345" s="23" t="s">
        <v>1549</v>
      </c>
      <c r="O345" s="25">
        <f t="shared" si="36"/>
        <v>45961</v>
      </c>
      <c r="P345" s="27">
        <f t="shared" si="34"/>
        <v>0</v>
      </c>
      <c r="Q345" s="27">
        <f t="shared" si="35"/>
        <v>0</v>
      </c>
      <c r="R345" s="28" t="s">
        <v>22</v>
      </c>
      <c r="S345" s="21">
        <v>6544</v>
      </c>
      <c r="T345" s="18" t="s">
        <v>23</v>
      </c>
      <c r="U345" s="14"/>
    </row>
    <row r="346" spans="1:21" x14ac:dyDescent="0.2">
      <c r="A346" s="17">
        <v>344</v>
      </c>
      <c r="B346" s="18" t="s">
        <v>1550</v>
      </c>
      <c r="C346" s="19" t="s">
        <v>1551</v>
      </c>
      <c r="D346" s="20" t="s">
        <v>1552</v>
      </c>
      <c r="E346" s="21">
        <v>200000</v>
      </c>
      <c r="F346" s="20" t="s">
        <v>21</v>
      </c>
      <c r="G346" s="20" t="s">
        <v>21</v>
      </c>
      <c r="H346" s="22" t="s">
        <v>140</v>
      </c>
      <c r="I346" s="23" t="s">
        <v>141</v>
      </c>
      <c r="J346" s="24" t="s">
        <v>118</v>
      </c>
      <c r="K346" s="25">
        <f t="shared" si="31"/>
        <v>45931</v>
      </c>
      <c r="L346" s="26" t="str">
        <f t="shared" si="32"/>
        <v>Oct 25</v>
      </c>
      <c r="M346" s="26" t="str">
        <f t="shared" si="33"/>
        <v>2025</v>
      </c>
      <c r="N346" s="23" t="s">
        <v>1549</v>
      </c>
      <c r="O346" s="25">
        <f t="shared" si="36"/>
        <v>45961</v>
      </c>
      <c r="P346" s="27">
        <f t="shared" si="34"/>
        <v>0</v>
      </c>
      <c r="Q346" s="27">
        <f t="shared" si="35"/>
        <v>0</v>
      </c>
      <c r="R346" s="28" t="s">
        <v>22</v>
      </c>
      <c r="S346" s="21">
        <v>5400</v>
      </c>
      <c r="T346" s="18" t="s">
        <v>23</v>
      </c>
      <c r="U346" s="14"/>
    </row>
    <row r="347" spans="1:21" x14ac:dyDescent="0.2">
      <c r="A347" s="17">
        <v>345</v>
      </c>
      <c r="B347" s="18" t="s">
        <v>884</v>
      </c>
      <c r="C347" s="19" t="s">
        <v>885</v>
      </c>
      <c r="D347" s="20" t="s">
        <v>1553</v>
      </c>
      <c r="E347" s="21">
        <v>70000</v>
      </c>
      <c r="F347" s="20" t="s">
        <v>21</v>
      </c>
      <c r="G347" s="20" t="s">
        <v>21</v>
      </c>
      <c r="H347" s="22" t="s">
        <v>140</v>
      </c>
      <c r="I347" s="23" t="s">
        <v>141</v>
      </c>
      <c r="J347" s="24" t="s">
        <v>340</v>
      </c>
      <c r="K347" s="25">
        <f t="shared" si="31"/>
        <v>45950</v>
      </c>
      <c r="L347" s="26" t="str">
        <f t="shared" si="32"/>
        <v>Oct 25</v>
      </c>
      <c r="M347" s="26" t="str">
        <f t="shared" si="33"/>
        <v>2025</v>
      </c>
      <c r="N347" s="23" t="s">
        <v>887</v>
      </c>
      <c r="O347" s="25">
        <f t="shared" si="36"/>
        <v>45960</v>
      </c>
      <c r="P347" s="27">
        <f t="shared" si="34"/>
        <v>0</v>
      </c>
      <c r="Q347" s="27">
        <f t="shared" si="35"/>
        <v>0</v>
      </c>
      <c r="R347" s="28" t="s">
        <v>1554</v>
      </c>
      <c r="S347" s="21">
        <v>63000</v>
      </c>
      <c r="T347" s="18" t="s">
        <v>23</v>
      </c>
      <c r="U347" s="14"/>
    </row>
    <row r="348" spans="1:21" x14ac:dyDescent="0.2">
      <c r="A348" s="17">
        <v>346</v>
      </c>
      <c r="B348" s="18" t="s">
        <v>1555</v>
      </c>
      <c r="C348" s="19" t="s">
        <v>1556</v>
      </c>
      <c r="D348" s="20" t="s">
        <v>1557</v>
      </c>
      <c r="E348" s="21">
        <v>75000</v>
      </c>
      <c r="F348" s="20" t="s">
        <v>21</v>
      </c>
      <c r="G348" s="20" t="s">
        <v>21</v>
      </c>
      <c r="H348" s="22" t="s">
        <v>1448</v>
      </c>
      <c r="I348" s="23" t="s">
        <v>111</v>
      </c>
      <c r="J348" s="24" t="s">
        <v>258</v>
      </c>
      <c r="K348" s="25">
        <f t="shared" si="31"/>
        <v>45945</v>
      </c>
      <c r="L348" s="26" t="str">
        <f t="shared" si="32"/>
        <v>Oct 25</v>
      </c>
      <c r="M348" s="26" t="str">
        <f t="shared" si="33"/>
        <v>2025</v>
      </c>
      <c r="N348" s="23" t="s">
        <v>1031</v>
      </c>
      <c r="O348" s="25">
        <f t="shared" si="36"/>
        <v>45989</v>
      </c>
      <c r="P348" s="27">
        <f t="shared" si="34"/>
        <v>1</v>
      </c>
      <c r="Q348" s="27">
        <f t="shared" si="35"/>
        <v>0</v>
      </c>
      <c r="R348" s="28" t="s">
        <v>1558</v>
      </c>
      <c r="S348" s="21">
        <v>8000</v>
      </c>
      <c r="T348" s="18" t="s">
        <v>23</v>
      </c>
      <c r="U348" s="14"/>
    </row>
    <row r="349" spans="1:21" x14ac:dyDescent="0.2">
      <c r="A349" s="17">
        <v>347</v>
      </c>
      <c r="B349" s="18" t="s">
        <v>1559</v>
      </c>
      <c r="C349" s="19" t="s">
        <v>1116</v>
      </c>
      <c r="D349" s="20" t="s">
        <v>1560</v>
      </c>
      <c r="E349" s="21">
        <v>95000</v>
      </c>
      <c r="F349" s="20" t="s">
        <v>21</v>
      </c>
      <c r="G349" s="20" t="s">
        <v>21</v>
      </c>
      <c r="H349" s="22" t="s">
        <v>719</v>
      </c>
      <c r="I349" s="23" t="s">
        <v>800</v>
      </c>
      <c r="J349" s="24" t="s">
        <v>1496</v>
      </c>
      <c r="K349" s="25">
        <f t="shared" si="31"/>
        <v>45947</v>
      </c>
      <c r="L349" s="26" t="str">
        <f t="shared" si="32"/>
        <v>Oct 25</v>
      </c>
      <c r="M349" s="26" t="str">
        <f t="shared" si="33"/>
        <v>2025</v>
      </c>
      <c r="N349" s="23" t="s">
        <v>1561</v>
      </c>
      <c r="O349" s="25">
        <f t="shared" si="36"/>
        <v>45968</v>
      </c>
      <c r="P349" s="27">
        <f t="shared" si="34"/>
        <v>0</v>
      </c>
      <c r="Q349" s="27">
        <f t="shared" si="35"/>
        <v>0</v>
      </c>
      <c r="R349" s="28" t="s">
        <v>1562</v>
      </c>
      <c r="S349" s="21">
        <v>80550</v>
      </c>
      <c r="T349" s="18" t="s">
        <v>23</v>
      </c>
      <c r="U349" s="14"/>
    </row>
    <row r="350" spans="1:21" x14ac:dyDescent="0.2">
      <c r="A350" s="17">
        <v>348</v>
      </c>
      <c r="B350" s="18" t="s">
        <v>1563</v>
      </c>
      <c r="C350" s="19" t="s">
        <v>1564</v>
      </c>
      <c r="D350" s="20" t="s">
        <v>1565</v>
      </c>
      <c r="E350" s="21">
        <v>130000</v>
      </c>
      <c r="F350" s="20" t="s">
        <v>21</v>
      </c>
      <c r="G350" s="20" t="s">
        <v>21</v>
      </c>
      <c r="H350" s="22" t="s">
        <v>535</v>
      </c>
      <c r="I350" s="23" t="s">
        <v>536</v>
      </c>
      <c r="J350" s="24" t="s">
        <v>458</v>
      </c>
      <c r="K350" s="25">
        <f t="shared" si="31"/>
        <v>45718</v>
      </c>
      <c r="L350" s="26" t="str">
        <f t="shared" si="32"/>
        <v>Mar 25</v>
      </c>
      <c r="M350" s="26" t="str">
        <f t="shared" si="33"/>
        <v>2025</v>
      </c>
      <c r="N350" s="23" t="s">
        <v>1013</v>
      </c>
      <c r="O350" s="25">
        <f t="shared" si="36"/>
        <v>45842</v>
      </c>
      <c r="P350" s="27">
        <f t="shared" si="34"/>
        <v>4</v>
      </c>
      <c r="Q350" s="27">
        <f t="shared" si="35"/>
        <v>0</v>
      </c>
      <c r="R350" s="28" t="s">
        <v>1566</v>
      </c>
      <c r="S350" s="21">
        <v>18630</v>
      </c>
      <c r="T350" s="18" t="s">
        <v>23</v>
      </c>
      <c r="U350" s="14"/>
    </row>
    <row r="351" spans="1:21" x14ac:dyDescent="0.2">
      <c r="A351" s="17">
        <v>349</v>
      </c>
      <c r="B351" s="18" t="s">
        <v>1567</v>
      </c>
      <c r="C351" s="19" t="s">
        <v>1568</v>
      </c>
      <c r="D351" s="20" t="s">
        <v>1569</v>
      </c>
      <c r="E351" s="21">
        <v>165000</v>
      </c>
      <c r="F351" s="20" t="s">
        <v>21</v>
      </c>
      <c r="G351" s="20" t="s">
        <v>21</v>
      </c>
      <c r="H351" s="22" t="s">
        <v>118</v>
      </c>
      <c r="I351" s="23" t="s">
        <v>1570</v>
      </c>
      <c r="J351" s="24" t="s">
        <v>1571</v>
      </c>
      <c r="K351" s="25">
        <f t="shared" si="31"/>
        <v>45965</v>
      </c>
      <c r="L351" s="26" t="str">
        <f t="shared" si="32"/>
        <v>Nov 25</v>
      </c>
      <c r="M351" s="26" t="str">
        <f t="shared" si="33"/>
        <v>2025</v>
      </c>
      <c r="N351" s="23" t="s">
        <v>35</v>
      </c>
      <c r="O351" s="25">
        <f t="shared" si="36"/>
        <v>45971</v>
      </c>
      <c r="P351" s="27">
        <f t="shared" si="34"/>
        <v>0</v>
      </c>
      <c r="Q351" s="27">
        <f t="shared" si="35"/>
        <v>0</v>
      </c>
      <c r="R351" s="28" t="s">
        <v>65</v>
      </c>
      <c r="S351" s="21">
        <v>6525</v>
      </c>
      <c r="T351" s="18" t="s">
        <v>23</v>
      </c>
      <c r="U351" s="14"/>
    </row>
    <row r="352" spans="1:21" x14ac:dyDescent="0.2">
      <c r="A352" s="17">
        <v>350</v>
      </c>
      <c r="B352" s="18" t="s">
        <v>1572</v>
      </c>
      <c r="C352" s="19" t="s">
        <v>1573</v>
      </c>
      <c r="D352" s="20" t="s">
        <v>1574</v>
      </c>
      <c r="E352" s="21">
        <v>85000</v>
      </c>
      <c r="F352" s="20" t="s">
        <v>21</v>
      </c>
      <c r="G352" s="20" t="s">
        <v>21</v>
      </c>
      <c r="H352" s="22" t="s">
        <v>669</v>
      </c>
      <c r="I352" s="23" t="s">
        <v>669</v>
      </c>
      <c r="J352" s="24" t="s">
        <v>1575</v>
      </c>
      <c r="K352" s="25">
        <f t="shared" si="31"/>
        <v>45957</v>
      </c>
      <c r="L352" s="26" t="str">
        <f t="shared" si="32"/>
        <v>Oct 25</v>
      </c>
      <c r="M352" s="26" t="str">
        <f t="shared" si="33"/>
        <v>2025</v>
      </c>
      <c r="N352" s="23" t="s">
        <v>1561</v>
      </c>
      <c r="O352" s="25">
        <f t="shared" si="36"/>
        <v>45968</v>
      </c>
      <c r="P352" s="27">
        <f t="shared" si="34"/>
        <v>0</v>
      </c>
      <c r="Q352" s="27">
        <f t="shared" si="35"/>
        <v>0</v>
      </c>
      <c r="R352" s="28" t="s">
        <v>22</v>
      </c>
      <c r="S352" s="21">
        <v>23400</v>
      </c>
      <c r="T352" s="18" t="s">
        <v>23</v>
      </c>
      <c r="U352" s="14"/>
    </row>
    <row r="353" spans="1:21" x14ac:dyDescent="0.2">
      <c r="A353" s="17">
        <v>351</v>
      </c>
      <c r="B353" s="18" t="s">
        <v>1576</v>
      </c>
      <c r="C353" s="19" t="s">
        <v>1577</v>
      </c>
      <c r="D353" s="20" t="s">
        <v>1578</v>
      </c>
      <c r="E353" s="21">
        <v>60000</v>
      </c>
      <c r="F353" s="20" t="s">
        <v>21</v>
      </c>
      <c r="G353" s="20" t="s">
        <v>21</v>
      </c>
      <c r="H353" s="22" t="s">
        <v>140</v>
      </c>
      <c r="I353" s="23" t="s">
        <v>141</v>
      </c>
      <c r="J353" s="24" t="s">
        <v>1579</v>
      </c>
      <c r="K353" s="25">
        <f t="shared" si="31"/>
        <v>45956</v>
      </c>
      <c r="L353" s="26" t="str">
        <f t="shared" si="32"/>
        <v>Oct 25</v>
      </c>
      <c r="M353" s="26" t="str">
        <f t="shared" si="33"/>
        <v>2025</v>
      </c>
      <c r="N353" s="23" t="s">
        <v>606</v>
      </c>
      <c r="O353" s="25">
        <f t="shared" si="36"/>
        <v>45972</v>
      </c>
      <c r="P353" s="27">
        <f t="shared" si="34"/>
        <v>0</v>
      </c>
      <c r="Q353" s="27">
        <f t="shared" si="35"/>
        <v>0</v>
      </c>
      <c r="R353" s="28" t="s">
        <v>1580</v>
      </c>
      <c r="S353" s="21">
        <v>49500</v>
      </c>
      <c r="T353" s="18" t="s">
        <v>23</v>
      </c>
      <c r="U353" s="14"/>
    </row>
    <row r="354" spans="1:21" x14ac:dyDescent="0.2">
      <c r="A354" s="17">
        <v>352</v>
      </c>
      <c r="B354" s="18" t="s">
        <v>1581</v>
      </c>
      <c r="C354" s="19" t="s">
        <v>1582</v>
      </c>
      <c r="D354" s="20" t="s">
        <v>1583</v>
      </c>
      <c r="E354" s="21">
        <v>60000</v>
      </c>
      <c r="F354" s="20" t="s">
        <v>1584</v>
      </c>
      <c r="G354" s="20" t="s">
        <v>21</v>
      </c>
      <c r="H354" s="22" t="s">
        <v>140</v>
      </c>
      <c r="I354" s="23" t="s">
        <v>141</v>
      </c>
      <c r="J354" s="24" t="s">
        <v>1575</v>
      </c>
      <c r="K354" s="25">
        <f t="shared" si="31"/>
        <v>45957</v>
      </c>
      <c r="L354" s="26" t="str">
        <f t="shared" si="32"/>
        <v>Oct 25</v>
      </c>
      <c r="M354" s="26" t="str">
        <f t="shared" si="33"/>
        <v>2025</v>
      </c>
      <c r="N354" s="23" t="s">
        <v>606</v>
      </c>
      <c r="O354" s="25">
        <f t="shared" si="36"/>
        <v>45972</v>
      </c>
      <c r="P354" s="27">
        <f t="shared" si="34"/>
        <v>0</v>
      </c>
      <c r="Q354" s="27">
        <f t="shared" si="35"/>
        <v>0</v>
      </c>
      <c r="R354" s="28" t="s">
        <v>65</v>
      </c>
      <c r="S354" s="21">
        <v>14146.2</v>
      </c>
      <c r="T354" s="18" t="s">
        <v>23</v>
      </c>
      <c r="U354" s="14"/>
    </row>
    <row r="355" spans="1:21" x14ac:dyDescent="0.2">
      <c r="A355" s="17">
        <v>353</v>
      </c>
      <c r="B355" s="18" t="s">
        <v>1585</v>
      </c>
      <c r="C355" s="19" t="s">
        <v>1586</v>
      </c>
      <c r="D355" s="20" t="s">
        <v>1587</v>
      </c>
      <c r="E355" s="21">
        <v>35000</v>
      </c>
      <c r="F355" s="20" t="s">
        <v>21</v>
      </c>
      <c r="G355" s="20" t="s">
        <v>21</v>
      </c>
      <c r="H355" s="22" t="s">
        <v>27</v>
      </c>
      <c r="I355" s="23" t="s">
        <v>28</v>
      </c>
      <c r="J355" s="24" t="s">
        <v>1518</v>
      </c>
      <c r="K355" s="25">
        <f t="shared" si="31"/>
        <v>45941</v>
      </c>
      <c r="L355" s="26" t="str">
        <f t="shared" si="32"/>
        <v>Oct 25</v>
      </c>
      <c r="M355" s="26" t="str">
        <f t="shared" si="33"/>
        <v>2025</v>
      </c>
      <c r="N355" s="23" t="s">
        <v>887</v>
      </c>
      <c r="O355" s="25">
        <f t="shared" si="36"/>
        <v>45960</v>
      </c>
      <c r="P355" s="27">
        <f t="shared" si="34"/>
        <v>0</v>
      </c>
      <c r="Q355" s="27">
        <f t="shared" si="35"/>
        <v>0</v>
      </c>
      <c r="R355" s="28" t="s">
        <v>22</v>
      </c>
      <c r="S355" s="21">
        <v>2902.5</v>
      </c>
      <c r="T355" s="18" t="s">
        <v>23</v>
      </c>
      <c r="U355" s="14"/>
    </row>
    <row r="356" spans="1:21" x14ac:dyDescent="0.2">
      <c r="A356" s="17">
        <v>354</v>
      </c>
      <c r="B356" s="18" t="s">
        <v>1588</v>
      </c>
      <c r="C356" s="19" t="s">
        <v>1589</v>
      </c>
      <c r="D356" s="20" t="s">
        <v>1590</v>
      </c>
      <c r="E356" s="21">
        <v>120000</v>
      </c>
      <c r="F356" s="20" t="s">
        <v>21</v>
      </c>
      <c r="G356" s="20" t="s">
        <v>21</v>
      </c>
      <c r="H356" s="22" t="s">
        <v>118</v>
      </c>
      <c r="I356" s="23" t="s">
        <v>111</v>
      </c>
      <c r="J356" s="24" t="s">
        <v>1591</v>
      </c>
      <c r="K356" s="25">
        <f t="shared" si="31"/>
        <v>45962</v>
      </c>
      <c r="L356" s="26" t="str">
        <f t="shared" si="32"/>
        <v>Nov 25</v>
      </c>
      <c r="M356" s="26" t="str">
        <f t="shared" si="33"/>
        <v>2025</v>
      </c>
      <c r="N356" s="23" t="s">
        <v>606</v>
      </c>
      <c r="O356" s="25">
        <f t="shared" si="36"/>
        <v>45972</v>
      </c>
      <c r="P356" s="27">
        <f t="shared" si="34"/>
        <v>0</v>
      </c>
      <c r="Q356" s="27">
        <f t="shared" si="35"/>
        <v>0</v>
      </c>
      <c r="R356" s="28" t="s">
        <v>1592</v>
      </c>
      <c r="S356" s="21">
        <v>58000</v>
      </c>
      <c r="T356" s="18" t="s">
        <v>23</v>
      </c>
      <c r="U356" s="14"/>
    </row>
    <row r="357" spans="1:21" x14ac:dyDescent="0.2">
      <c r="A357" s="17">
        <v>355</v>
      </c>
      <c r="B357" s="18" t="s">
        <v>1593</v>
      </c>
      <c r="C357" s="19" t="s">
        <v>1594</v>
      </c>
      <c r="D357" s="20" t="s">
        <v>1595</v>
      </c>
      <c r="E357" s="21">
        <v>150000</v>
      </c>
      <c r="F357" s="20" t="s">
        <v>4</v>
      </c>
      <c r="G357" s="20" t="s">
        <v>21</v>
      </c>
      <c r="H357" s="22" t="s">
        <v>331</v>
      </c>
      <c r="I357" s="23" t="s">
        <v>1596</v>
      </c>
      <c r="J357" s="24" t="s">
        <v>1490</v>
      </c>
      <c r="K357" s="25">
        <f t="shared" si="31"/>
        <v>45937</v>
      </c>
      <c r="L357" s="26" t="str">
        <f t="shared" si="32"/>
        <v>Oct 25</v>
      </c>
      <c r="M357" s="26" t="str">
        <f t="shared" si="33"/>
        <v>2025</v>
      </c>
      <c r="N357" s="23" t="s">
        <v>56</v>
      </c>
      <c r="O357" s="25">
        <f t="shared" si="36"/>
        <v>45979</v>
      </c>
      <c r="P357" s="27">
        <f t="shared" si="34"/>
        <v>1</v>
      </c>
      <c r="Q357" s="27">
        <f t="shared" si="35"/>
        <v>0</v>
      </c>
      <c r="R357" s="28" t="s">
        <v>1597</v>
      </c>
      <c r="S357" s="21">
        <v>97000</v>
      </c>
      <c r="T357" s="18" t="s">
        <v>23</v>
      </c>
      <c r="U357" s="14"/>
    </row>
    <row r="358" spans="1:21" x14ac:dyDescent="0.2">
      <c r="A358" s="17">
        <v>356</v>
      </c>
      <c r="B358" s="18" t="s">
        <v>1598</v>
      </c>
      <c r="C358" s="19" t="s">
        <v>1599</v>
      </c>
      <c r="D358" s="20" t="s">
        <v>1600</v>
      </c>
      <c r="E358" s="21">
        <v>150000</v>
      </c>
      <c r="F358" s="20" t="s">
        <v>21</v>
      </c>
      <c r="G358" s="20" t="s">
        <v>21</v>
      </c>
      <c r="H358" s="22" t="s">
        <v>118</v>
      </c>
      <c r="I358" s="23" t="s">
        <v>111</v>
      </c>
      <c r="J358" s="24" t="s">
        <v>126</v>
      </c>
      <c r="K358" s="25">
        <f t="shared" si="31"/>
        <v>45967</v>
      </c>
      <c r="L358" s="26" t="str">
        <f t="shared" si="32"/>
        <v>Nov 25</v>
      </c>
      <c r="M358" s="26" t="str">
        <f t="shared" si="33"/>
        <v>2025</v>
      </c>
      <c r="N358" s="23" t="s">
        <v>1601</v>
      </c>
      <c r="O358" s="25">
        <f t="shared" si="36"/>
        <v>45978</v>
      </c>
      <c r="P358" s="27">
        <f t="shared" si="34"/>
        <v>0</v>
      </c>
      <c r="Q358" s="27">
        <f t="shared" si="35"/>
        <v>0</v>
      </c>
      <c r="R358" s="28" t="s">
        <v>22</v>
      </c>
      <c r="S358" s="21">
        <v>10530</v>
      </c>
      <c r="T358" s="18" t="s">
        <v>23</v>
      </c>
      <c r="U358" s="14"/>
    </row>
    <row r="359" spans="1:21" x14ac:dyDescent="0.2">
      <c r="A359" s="17">
        <v>357</v>
      </c>
      <c r="B359" s="18" t="s">
        <v>1602</v>
      </c>
      <c r="C359" s="19" t="s">
        <v>1603</v>
      </c>
      <c r="D359" s="20" t="s">
        <v>1604</v>
      </c>
      <c r="E359" s="21">
        <v>150000</v>
      </c>
      <c r="F359" s="20" t="s">
        <v>21</v>
      </c>
      <c r="G359" s="20" t="s">
        <v>21</v>
      </c>
      <c r="H359" s="22" t="s">
        <v>369</v>
      </c>
      <c r="I359" s="23" t="s">
        <v>1605</v>
      </c>
      <c r="J359" s="24" t="s">
        <v>989</v>
      </c>
      <c r="K359" s="25">
        <f t="shared" si="31"/>
        <v>45829</v>
      </c>
      <c r="L359" s="26" t="str">
        <f t="shared" si="32"/>
        <v>Jun 25</v>
      </c>
      <c r="M359" s="26" t="str">
        <f t="shared" si="33"/>
        <v>2025</v>
      </c>
      <c r="N359" s="23" t="s">
        <v>1601</v>
      </c>
      <c r="O359" s="25">
        <f t="shared" si="36"/>
        <v>45978</v>
      </c>
      <c r="P359" s="27">
        <f t="shared" si="34"/>
        <v>4</v>
      </c>
      <c r="Q359" s="27">
        <f t="shared" si="35"/>
        <v>0</v>
      </c>
      <c r="R359" s="28" t="s">
        <v>65</v>
      </c>
      <c r="S359" s="21">
        <v>32990</v>
      </c>
      <c r="T359" s="18" t="s">
        <v>23</v>
      </c>
      <c r="U359" s="14"/>
    </row>
    <row r="360" spans="1:21" x14ac:dyDescent="0.2">
      <c r="A360" s="17">
        <v>358</v>
      </c>
      <c r="B360" s="18" t="s">
        <v>1606</v>
      </c>
      <c r="C360" s="19" t="s">
        <v>1607</v>
      </c>
      <c r="D360" s="20" t="s">
        <v>1608</v>
      </c>
      <c r="E360" s="21">
        <v>100000</v>
      </c>
      <c r="F360" s="20" t="s">
        <v>21</v>
      </c>
      <c r="G360" s="20" t="s">
        <v>21</v>
      </c>
      <c r="H360" s="22" t="s">
        <v>369</v>
      </c>
      <c r="I360" s="23" t="s">
        <v>620</v>
      </c>
      <c r="J360" s="24" t="s">
        <v>35</v>
      </c>
      <c r="K360" s="25">
        <f t="shared" si="31"/>
        <v>45971</v>
      </c>
      <c r="L360" s="26" t="str">
        <f t="shared" si="32"/>
        <v>Nov 25</v>
      </c>
      <c r="M360" s="26" t="str">
        <f t="shared" si="33"/>
        <v>2025</v>
      </c>
      <c r="N360" s="23" t="s">
        <v>1609</v>
      </c>
      <c r="O360" s="25">
        <f t="shared" si="36"/>
        <v>45975</v>
      </c>
      <c r="P360" s="27">
        <f t="shared" si="34"/>
        <v>0</v>
      </c>
      <c r="Q360" s="27">
        <f t="shared" si="35"/>
        <v>0</v>
      </c>
      <c r="R360" s="28" t="s">
        <v>22</v>
      </c>
      <c r="S360" s="21">
        <v>14616</v>
      </c>
      <c r="T360" s="18" t="s">
        <v>23</v>
      </c>
      <c r="U360" s="14"/>
    </row>
    <row r="361" spans="1:21" x14ac:dyDescent="0.2">
      <c r="A361" s="17">
        <v>359</v>
      </c>
      <c r="B361" s="18" t="s">
        <v>1610</v>
      </c>
      <c r="C361" s="19" t="s">
        <v>1611</v>
      </c>
      <c r="D361" s="20" t="s">
        <v>1612</v>
      </c>
      <c r="E361" s="21">
        <v>300000</v>
      </c>
      <c r="F361" s="20" t="s">
        <v>21</v>
      </c>
      <c r="G361" s="20" t="s">
        <v>21</v>
      </c>
      <c r="H361" s="22" t="s">
        <v>1549</v>
      </c>
      <c r="I361" s="23" t="s">
        <v>1613</v>
      </c>
      <c r="J361" s="24" t="s">
        <v>1614</v>
      </c>
      <c r="K361" s="25">
        <f t="shared" si="31"/>
        <v>45921</v>
      </c>
      <c r="L361" s="26" t="str">
        <f t="shared" si="32"/>
        <v>Sep 25</v>
      </c>
      <c r="M361" s="26" t="str">
        <f t="shared" si="33"/>
        <v>2025</v>
      </c>
      <c r="N361" s="23" t="s">
        <v>41</v>
      </c>
      <c r="O361" s="25">
        <f t="shared" si="36"/>
        <v>45981</v>
      </c>
      <c r="P361" s="27">
        <f t="shared" si="34"/>
        <v>1</v>
      </c>
      <c r="Q361" s="27">
        <f t="shared" si="35"/>
        <v>0</v>
      </c>
      <c r="R361" s="28" t="s">
        <v>65</v>
      </c>
      <c r="S361" s="21">
        <v>41551</v>
      </c>
      <c r="T361" s="18" t="s">
        <v>23</v>
      </c>
      <c r="U361" s="14"/>
    </row>
    <row r="362" spans="1:21" x14ac:dyDescent="0.2">
      <c r="A362" s="17">
        <v>360</v>
      </c>
      <c r="B362" s="18" t="s">
        <v>1615</v>
      </c>
      <c r="C362" s="19" t="s">
        <v>1616</v>
      </c>
      <c r="D362" s="20" t="s">
        <v>1617</v>
      </c>
      <c r="E362" s="21">
        <v>111277.67</v>
      </c>
      <c r="F362" s="20" t="s">
        <v>1618</v>
      </c>
      <c r="G362" s="20" t="s">
        <v>21</v>
      </c>
      <c r="H362" s="22" t="s">
        <v>140</v>
      </c>
      <c r="I362" s="23" t="s">
        <v>141</v>
      </c>
      <c r="J362" s="24" t="s">
        <v>211</v>
      </c>
      <c r="K362" s="25">
        <f t="shared" si="31"/>
        <v>45976</v>
      </c>
      <c r="L362" s="26" t="str">
        <f t="shared" si="32"/>
        <v>Nov 25</v>
      </c>
      <c r="M362" s="26" t="str">
        <f t="shared" si="33"/>
        <v>2025</v>
      </c>
      <c r="N362" s="23" t="s">
        <v>211</v>
      </c>
      <c r="O362" s="25">
        <f t="shared" si="36"/>
        <v>45976</v>
      </c>
      <c r="P362" s="27">
        <f t="shared" si="34"/>
        <v>0</v>
      </c>
      <c r="Q362" s="27">
        <f t="shared" si="35"/>
        <v>0</v>
      </c>
      <c r="R362" s="28" t="s">
        <v>37</v>
      </c>
      <c r="S362" s="21">
        <v>136000</v>
      </c>
      <c r="T362" s="18" t="s">
        <v>23</v>
      </c>
      <c r="U362" s="14"/>
    </row>
    <row r="363" spans="1:21" x14ac:dyDescent="0.2">
      <c r="A363" s="17">
        <v>361</v>
      </c>
      <c r="B363" s="18" t="s">
        <v>1619</v>
      </c>
      <c r="C363" s="19" t="s">
        <v>1343</v>
      </c>
      <c r="D363" s="20" t="s">
        <v>1620</v>
      </c>
      <c r="E363" s="21">
        <v>90000</v>
      </c>
      <c r="F363" s="20" t="s">
        <v>21</v>
      </c>
      <c r="G363" s="20" t="s">
        <v>21</v>
      </c>
      <c r="H363" s="22" t="s">
        <v>140</v>
      </c>
      <c r="I363" s="23" t="s">
        <v>141</v>
      </c>
      <c r="J363" s="24" t="s">
        <v>1621</v>
      </c>
      <c r="K363" s="25">
        <f t="shared" si="31"/>
        <v>45955</v>
      </c>
      <c r="L363" s="26" t="str">
        <f t="shared" si="32"/>
        <v>Oct 25</v>
      </c>
      <c r="M363" s="26" t="str">
        <f t="shared" si="33"/>
        <v>2025</v>
      </c>
      <c r="N363" s="23" t="s">
        <v>1102</v>
      </c>
      <c r="O363" s="25">
        <f t="shared" si="36"/>
        <v>46008</v>
      </c>
      <c r="P363" s="27">
        <f t="shared" si="34"/>
        <v>1</v>
      </c>
      <c r="Q363" s="27">
        <f t="shared" si="35"/>
        <v>0</v>
      </c>
      <c r="R363" s="28" t="s">
        <v>65</v>
      </c>
      <c r="S363" s="21">
        <v>25902</v>
      </c>
      <c r="T363" s="18" t="s">
        <v>23</v>
      </c>
      <c r="U363" s="14"/>
    </row>
    <row r="364" spans="1:21" x14ac:dyDescent="0.2">
      <c r="A364" s="17">
        <v>362</v>
      </c>
      <c r="B364" s="18" t="s">
        <v>1622</v>
      </c>
      <c r="C364" s="19" t="s">
        <v>1623</v>
      </c>
      <c r="D364" s="20" t="s">
        <v>1624</v>
      </c>
      <c r="E364" s="21">
        <v>120000</v>
      </c>
      <c r="F364" s="20" t="s">
        <v>21</v>
      </c>
      <c r="G364" s="20" t="s">
        <v>21</v>
      </c>
      <c r="H364" s="22" t="s">
        <v>1625</v>
      </c>
      <c r="I364" s="23" t="s">
        <v>1092</v>
      </c>
      <c r="J364" s="24">
        <v>110.2025</v>
      </c>
      <c r="K364" s="25">
        <f t="shared" si="31"/>
        <v>45637</v>
      </c>
      <c r="L364" s="26" t="str">
        <f t="shared" si="32"/>
        <v>Dec 24</v>
      </c>
      <c r="M364" s="26" t="str">
        <f t="shared" si="33"/>
        <v>2024</v>
      </c>
      <c r="N364" s="23" t="s">
        <v>1626</v>
      </c>
      <c r="O364" s="25">
        <f t="shared" si="36"/>
        <v>45985</v>
      </c>
      <c r="P364" s="27">
        <f t="shared" si="34"/>
        <v>11</v>
      </c>
      <c r="Q364" s="27">
        <f t="shared" si="35"/>
        <v>1</v>
      </c>
      <c r="R364" s="28" t="s">
        <v>92</v>
      </c>
      <c r="S364" s="21">
        <v>108000</v>
      </c>
      <c r="T364" s="18" t="s">
        <v>23</v>
      </c>
      <c r="U364" s="14"/>
    </row>
    <row r="365" spans="1:21" x14ac:dyDescent="0.2">
      <c r="A365" s="17">
        <v>363</v>
      </c>
      <c r="B365" s="18" t="s">
        <v>1627</v>
      </c>
      <c r="C365" s="19" t="s">
        <v>1628</v>
      </c>
      <c r="D365" s="20" t="s">
        <v>1629</v>
      </c>
      <c r="E365" s="21">
        <v>250000</v>
      </c>
      <c r="F365" s="20" t="s">
        <v>21</v>
      </c>
      <c r="G365" s="20" t="s">
        <v>21</v>
      </c>
      <c r="H365" s="22" t="s">
        <v>1190</v>
      </c>
      <c r="I365" s="23" t="s">
        <v>1630</v>
      </c>
      <c r="J365" s="24" t="s">
        <v>126</v>
      </c>
      <c r="K365" s="25">
        <f t="shared" si="31"/>
        <v>45967</v>
      </c>
      <c r="L365" s="26" t="str">
        <f t="shared" si="32"/>
        <v>Nov 25</v>
      </c>
      <c r="M365" s="26" t="str">
        <f t="shared" si="33"/>
        <v>2025</v>
      </c>
      <c r="N365" s="23" t="s">
        <v>1631</v>
      </c>
      <c r="O365" s="25">
        <f t="shared" si="36"/>
        <v>45982</v>
      </c>
      <c r="P365" s="27">
        <f t="shared" si="34"/>
        <v>0</v>
      </c>
      <c r="Q365" s="27">
        <f t="shared" si="35"/>
        <v>0</v>
      </c>
      <c r="R365" s="28" t="s">
        <v>92</v>
      </c>
      <c r="S365" s="21">
        <v>219000</v>
      </c>
      <c r="T365" s="18" t="s">
        <v>23</v>
      </c>
      <c r="U365" s="14"/>
    </row>
    <row r="366" spans="1:21" x14ac:dyDescent="0.2">
      <c r="A366" s="17">
        <v>364</v>
      </c>
      <c r="B366" s="18" t="s">
        <v>895</v>
      </c>
      <c r="C366" s="19" t="s">
        <v>1632</v>
      </c>
      <c r="D366" s="20" t="s">
        <v>1633</v>
      </c>
      <c r="E366" s="21">
        <v>550000</v>
      </c>
      <c r="F366" s="20" t="s">
        <v>21</v>
      </c>
      <c r="G366" s="20" t="s">
        <v>21</v>
      </c>
      <c r="H366" s="22" t="s">
        <v>140</v>
      </c>
      <c r="I366" s="23" t="s">
        <v>141</v>
      </c>
      <c r="J366" s="24" t="s">
        <v>1549</v>
      </c>
      <c r="K366" s="25">
        <f t="shared" si="31"/>
        <v>45961</v>
      </c>
      <c r="L366" s="26" t="str">
        <f t="shared" si="32"/>
        <v>Oct 25</v>
      </c>
      <c r="M366" s="26" t="str">
        <f t="shared" si="33"/>
        <v>2025</v>
      </c>
      <c r="N366" s="23" t="s">
        <v>1030</v>
      </c>
      <c r="O366" s="25">
        <f t="shared" si="36"/>
        <v>45988</v>
      </c>
      <c r="P366" s="27">
        <f t="shared" si="34"/>
        <v>0</v>
      </c>
      <c r="Q366" s="27">
        <f t="shared" si="35"/>
        <v>0</v>
      </c>
      <c r="R366" s="28" t="s">
        <v>65</v>
      </c>
      <c r="S366" s="21">
        <v>10544</v>
      </c>
      <c r="T366" s="18" t="s">
        <v>23</v>
      </c>
      <c r="U366" s="14"/>
    </row>
    <row r="367" spans="1:21" x14ac:dyDescent="0.2">
      <c r="A367" s="17">
        <v>365</v>
      </c>
      <c r="B367" s="18" t="s">
        <v>895</v>
      </c>
      <c r="C367" s="19" t="s">
        <v>1634</v>
      </c>
      <c r="D367" s="20" t="s">
        <v>1635</v>
      </c>
      <c r="E367" s="21">
        <v>2264602.27</v>
      </c>
      <c r="F367" s="20" t="s">
        <v>21</v>
      </c>
      <c r="G367" s="20" t="s">
        <v>21</v>
      </c>
      <c r="H367" s="22" t="s">
        <v>140</v>
      </c>
      <c r="I367" s="23" t="s">
        <v>141</v>
      </c>
      <c r="J367" s="24" t="s">
        <v>118</v>
      </c>
      <c r="K367" s="25">
        <f t="shared" si="31"/>
        <v>45931</v>
      </c>
      <c r="L367" s="26" t="str">
        <f t="shared" si="32"/>
        <v>Oct 25</v>
      </c>
      <c r="M367" s="26" t="str">
        <f t="shared" si="33"/>
        <v>2025</v>
      </c>
      <c r="N367" s="23" t="s">
        <v>1030</v>
      </c>
      <c r="O367" s="25">
        <f t="shared" si="36"/>
        <v>45988</v>
      </c>
      <c r="P367" s="27">
        <f t="shared" si="34"/>
        <v>1</v>
      </c>
      <c r="Q367" s="27">
        <f t="shared" si="35"/>
        <v>0</v>
      </c>
      <c r="R367" s="28" t="s">
        <v>22</v>
      </c>
      <c r="S367" s="21">
        <v>5040</v>
      </c>
      <c r="T367" s="18" t="s">
        <v>23</v>
      </c>
      <c r="U367" s="14"/>
    </row>
    <row r="368" spans="1:21" x14ac:dyDescent="0.2">
      <c r="A368" s="17">
        <v>366</v>
      </c>
      <c r="B368" s="18" t="s">
        <v>895</v>
      </c>
      <c r="C368" s="19" t="s">
        <v>1636</v>
      </c>
      <c r="D368" s="20" t="s">
        <v>1637</v>
      </c>
      <c r="E368" s="21">
        <v>403000</v>
      </c>
      <c r="F368" s="20" t="s">
        <v>21</v>
      </c>
      <c r="G368" s="20" t="s">
        <v>21</v>
      </c>
      <c r="H368" s="22" t="s">
        <v>140</v>
      </c>
      <c r="I368" s="23" t="s">
        <v>141</v>
      </c>
      <c r="J368" s="24" t="s">
        <v>1591</v>
      </c>
      <c r="K368" s="25">
        <f t="shared" si="31"/>
        <v>45962</v>
      </c>
      <c r="L368" s="26" t="str">
        <f t="shared" si="32"/>
        <v>Nov 25</v>
      </c>
      <c r="M368" s="26" t="str">
        <f t="shared" si="33"/>
        <v>2025</v>
      </c>
      <c r="N368" s="23" t="s">
        <v>1030</v>
      </c>
      <c r="O368" s="25">
        <f t="shared" si="36"/>
        <v>45988</v>
      </c>
      <c r="P368" s="27">
        <f t="shared" si="34"/>
        <v>0</v>
      </c>
      <c r="Q368" s="27">
        <f t="shared" si="35"/>
        <v>0</v>
      </c>
      <c r="R368" s="28" t="s">
        <v>65</v>
      </c>
      <c r="S368" s="21">
        <v>9000</v>
      </c>
      <c r="T368" s="18" t="s">
        <v>23</v>
      </c>
      <c r="U368" s="14"/>
    </row>
    <row r="369" spans="1:21" x14ac:dyDescent="0.2">
      <c r="A369" s="17">
        <v>367</v>
      </c>
      <c r="B369" s="18" t="s">
        <v>1638</v>
      </c>
      <c r="C369" s="19" t="s">
        <v>1639</v>
      </c>
      <c r="D369" s="20" t="s">
        <v>1640</v>
      </c>
      <c r="E369" s="21">
        <v>100000</v>
      </c>
      <c r="F369" s="20" t="s">
        <v>21</v>
      </c>
      <c r="G369" s="20" t="s">
        <v>21</v>
      </c>
      <c r="H369" s="22" t="s">
        <v>516</v>
      </c>
      <c r="I369" s="23" t="s">
        <v>517</v>
      </c>
      <c r="J369" s="24" t="s">
        <v>1549</v>
      </c>
      <c r="K369" s="25">
        <f t="shared" si="31"/>
        <v>45961</v>
      </c>
      <c r="L369" s="26" t="str">
        <f t="shared" si="32"/>
        <v>Oct 25</v>
      </c>
      <c r="M369" s="26" t="str">
        <f t="shared" si="33"/>
        <v>2025</v>
      </c>
      <c r="N369" s="23" t="s">
        <v>36</v>
      </c>
      <c r="O369" s="25">
        <f t="shared" si="36"/>
        <v>45994</v>
      </c>
      <c r="P369" s="27">
        <f t="shared" si="34"/>
        <v>1</v>
      </c>
      <c r="Q369" s="27">
        <f t="shared" si="35"/>
        <v>0</v>
      </c>
      <c r="R369" s="28" t="s">
        <v>1501</v>
      </c>
      <c r="S369" s="21">
        <v>13950</v>
      </c>
      <c r="T369" s="18" t="s">
        <v>23</v>
      </c>
      <c r="U369" s="14"/>
    </row>
    <row r="370" spans="1:21" x14ac:dyDescent="0.2">
      <c r="A370" s="17">
        <v>368</v>
      </c>
      <c r="B370" s="18" t="s">
        <v>1641</v>
      </c>
      <c r="C370" s="19" t="s">
        <v>1642</v>
      </c>
      <c r="D370" s="20" t="s">
        <v>1643</v>
      </c>
      <c r="E370" s="21">
        <v>300000</v>
      </c>
      <c r="F370" s="20" t="s">
        <v>21</v>
      </c>
      <c r="G370" s="20" t="s">
        <v>21</v>
      </c>
      <c r="H370" s="22" t="s">
        <v>453</v>
      </c>
      <c r="I370" s="23" t="s">
        <v>1644</v>
      </c>
      <c r="J370" s="24" t="s">
        <v>606</v>
      </c>
      <c r="K370" s="25">
        <f t="shared" si="31"/>
        <v>45972</v>
      </c>
      <c r="L370" s="26" t="str">
        <f t="shared" si="32"/>
        <v>Nov 25</v>
      </c>
      <c r="M370" s="26" t="str">
        <f t="shared" si="33"/>
        <v>2025</v>
      </c>
      <c r="N370" s="23" t="s">
        <v>1645</v>
      </c>
      <c r="O370" s="25">
        <f t="shared" si="36"/>
        <v>45993</v>
      </c>
      <c r="P370" s="27">
        <f t="shared" si="34"/>
        <v>0</v>
      </c>
      <c r="Q370" s="27">
        <f t="shared" si="35"/>
        <v>0</v>
      </c>
      <c r="R370" s="28" t="s">
        <v>1646</v>
      </c>
      <c r="S370" s="21">
        <v>88200</v>
      </c>
      <c r="T370" s="18" t="s">
        <v>23</v>
      </c>
      <c r="U370" s="14"/>
    </row>
    <row r="371" spans="1:21" x14ac:dyDescent="0.2">
      <c r="A371" s="17">
        <v>369</v>
      </c>
      <c r="B371" s="18" t="s">
        <v>1647</v>
      </c>
      <c r="C371" s="19" t="s">
        <v>1648</v>
      </c>
      <c r="D371" s="20" t="s">
        <v>1649</v>
      </c>
      <c r="E371" s="21">
        <v>663040</v>
      </c>
      <c r="F371" s="20" t="s">
        <v>21</v>
      </c>
      <c r="G371" s="20" t="s">
        <v>21</v>
      </c>
      <c r="H371" s="22" t="s">
        <v>331</v>
      </c>
      <c r="I371" s="23">
        <v>3006.2026000000001</v>
      </c>
      <c r="J371" s="24" t="s">
        <v>1650</v>
      </c>
      <c r="K371" s="25">
        <f t="shared" si="31"/>
        <v>45984</v>
      </c>
      <c r="L371" s="26" t="str">
        <f t="shared" si="32"/>
        <v>Nov 25</v>
      </c>
      <c r="M371" s="26" t="str">
        <f t="shared" si="33"/>
        <v>2025</v>
      </c>
      <c r="N371" s="23" t="s">
        <v>1031</v>
      </c>
      <c r="O371" s="25">
        <f t="shared" si="36"/>
        <v>45989</v>
      </c>
      <c r="P371" s="27">
        <f t="shared" si="34"/>
        <v>0</v>
      </c>
      <c r="Q371" s="27">
        <f t="shared" si="35"/>
        <v>0</v>
      </c>
      <c r="R371" s="28" t="s">
        <v>92</v>
      </c>
      <c r="S371" s="21">
        <v>52560</v>
      </c>
      <c r="T371" s="18" t="s">
        <v>23</v>
      </c>
      <c r="U371" s="14"/>
    </row>
    <row r="372" spans="1:21" x14ac:dyDescent="0.2">
      <c r="A372" s="17">
        <v>370</v>
      </c>
      <c r="B372" s="18" t="s">
        <v>1651</v>
      </c>
      <c r="C372" s="19" t="s">
        <v>1652</v>
      </c>
      <c r="D372" s="20" t="s">
        <v>1653</v>
      </c>
      <c r="E372" s="21">
        <v>315360</v>
      </c>
      <c r="F372" s="20" t="s">
        <v>21</v>
      </c>
      <c r="G372" s="20" t="s">
        <v>21</v>
      </c>
      <c r="H372" s="22" t="s">
        <v>512</v>
      </c>
      <c r="I372" s="23" t="s">
        <v>589</v>
      </c>
      <c r="J372" s="24" t="s">
        <v>1645</v>
      </c>
      <c r="K372" s="25">
        <f t="shared" si="31"/>
        <v>45993</v>
      </c>
      <c r="L372" s="26" t="str">
        <f t="shared" si="32"/>
        <v>Dec 25</v>
      </c>
      <c r="M372" s="26" t="str">
        <f t="shared" si="33"/>
        <v>2025</v>
      </c>
      <c r="N372" s="23" t="s">
        <v>36</v>
      </c>
      <c r="O372" s="25">
        <f t="shared" si="36"/>
        <v>45994</v>
      </c>
      <c r="P372" s="27">
        <f t="shared" si="34"/>
        <v>0</v>
      </c>
      <c r="Q372" s="27">
        <f t="shared" si="35"/>
        <v>0</v>
      </c>
      <c r="R372" s="28" t="s">
        <v>65</v>
      </c>
      <c r="S372" s="21">
        <v>16704</v>
      </c>
      <c r="T372" s="18" t="s">
        <v>23</v>
      </c>
      <c r="U372" s="14"/>
    </row>
    <row r="373" spans="1:21" x14ac:dyDescent="0.2">
      <c r="A373" s="17">
        <v>371</v>
      </c>
      <c r="B373" s="18" t="s">
        <v>66</v>
      </c>
      <c r="C373" s="19" t="s">
        <v>1654</v>
      </c>
      <c r="D373" s="20" t="s">
        <v>1655</v>
      </c>
      <c r="E373" s="21">
        <v>60000</v>
      </c>
      <c r="F373" s="20" t="s">
        <v>21</v>
      </c>
      <c r="G373" s="20" t="s">
        <v>1656</v>
      </c>
      <c r="H373" s="22" t="s">
        <v>369</v>
      </c>
      <c r="I373" s="23" t="s">
        <v>620</v>
      </c>
      <c r="J373" s="24" t="s">
        <v>1575</v>
      </c>
      <c r="K373" s="25">
        <f t="shared" si="31"/>
        <v>45957</v>
      </c>
      <c r="L373" s="26" t="str">
        <f t="shared" si="32"/>
        <v>Oct 25</v>
      </c>
      <c r="M373" s="26" t="str">
        <f t="shared" si="33"/>
        <v>2025</v>
      </c>
      <c r="N373" s="23" t="s">
        <v>36</v>
      </c>
      <c r="O373" s="25">
        <f t="shared" si="36"/>
        <v>45994</v>
      </c>
      <c r="P373" s="27">
        <f t="shared" si="34"/>
        <v>1</v>
      </c>
      <c r="Q373" s="27">
        <f t="shared" si="35"/>
        <v>0</v>
      </c>
      <c r="R373" s="28" t="s">
        <v>1657</v>
      </c>
      <c r="S373" s="21">
        <v>10000</v>
      </c>
      <c r="T373" s="18" t="s">
        <v>23</v>
      </c>
      <c r="U373" s="14"/>
    </row>
    <row r="374" spans="1:21" x14ac:dyDescent="0.2">
      <c r="A374" s="17">
        <v>372</v>
      </c>
      <c r="B374" s="18" t="s">
        <v>1658</v>
      </c>
      <c r="C374" s="19" t="s">
        <v>1659</v>
      </c>
      <c r="D374" s="20" t="s">
        <v>1660</v>
      </c>
      <c r="E374" s="21">
        <v>80000</v>
      </c>
      <c r="F374" s="20" t="s">
        <v>21</v>
      </c>
      <c r="G374" s="20" t="s">
        <v>21</v>
      </c>
      <c r="H374" s="22" t="s">
        <v>99</v>
      </c>
      <c r="I374" s="23" t="s">
        <v>856</v>
      </c>
      <c r="J374" s="24" t="s">
        <v>35</v>
      </c>
      <c r="K374" s="25">
        <f t="shared" si="31"/>
        <v>45971</v>
      </c>
      <c r="L374" s="26" t="str">
        <f t="shared" si="32"/>
        <v>Nov 25</v>
      </c>
      <c r="M374" s="26" t="str">
        <f t="shared" si="33"/>
        <v>2025</v>
      </c>
      <c r="N374" s="23" t="s">
        <v>42</v>
      </c>
      <c r="O374" s="25">
        <f t="shared" si="36"/>
        <v>45992</v>
      </c>
      <c r="P374" s="27">
        <f t="shared" si="34"/>
        <v>0</v>
      </c>
      <c r="Q374" s="27">
        <f t="shared" si="35"/>
        <v>0</v>
      </c>
      <c r="R374" s="28" t="s">
        <v>92</v>
      </c>
      <c r="S374" s="21">
        <v>5220</v>
      </c>
      <c r="T374" s="18" t="s">
        <v>23</v>
      </c>
      <c r="U374" s="14"/>
    </row>
    <row r="375" spans="1:21" x14ac:dyDescent="0.2">
      <c r="A375" s="17">
        <v>373</v>
      </c>
      <c r="B375" s="18" t="s">
        <v>1661</v>
      </c>
      <c r="C375" s="19" t="s">
        <v>1662</v>
      </c>
      <c r="D375" s="20" t="s">
        <v>1663</v>
      </c>
      <c r="E375" s="21">
        <v>67500</v>
      </c>
      <c r="F375" s="20" t="s">
        <v>21</v>
      </c>
      <c r="G375" s="20" t="s">
        <v>21</v>
      </c>
      <c r="H375" s="22" t="s">
        <v>369</v>
      </c>
      <c r="I375" s="23" t="s">
        <v>620</v>
      </c>
      <c r="J375" s="24" t="s">
        <v>1626</v>
      </c>
      <c r="K375" s="25">
        <f t="shared" si="31"/>
        <v>45985</v>
      </c>
      <c r="L375" s="26" t="str">
        <f t="shared" si="32"/>
        <v>Nov 25</v>
      </c>
      <c r="M375" s="26" t="str">
        <f t="shared" si="33"/>
        <v>2025</v>
      </c>
      <c r="N375" s="23" t="s">
        <v>36</v>
      </c>
      <c r="O375" s="25">
        <f t="shared" si="36"/>
        <v>45994</v>
      </c>
      <c r="P375" s="27">
        <f t="shared" si="34"/>
        <v>0</v>
      </c>
      <c r="Q375" s="27">
        <f t="shared" si="35"/>
        <v>0</v>
      </c>
      <c r="R375" s="28" t="s">
        <v>894</v>
      </c>
      <c r="S375" s="21">
        <v>0</v>
      </c>
      <c r="T375" s="18" t="s">
        <v>23</v>
      </c>
      <c r="U375" s="14"/>
    </row>
    <row r="376" spans="1:21" x14ac:dyDescent="0.2">
      <c r="A376" s="17">
        <v>374</v>
      </c>
      <c r="B376" s="18" t="s">
        <v>1664</v>
      </c>
      <c r="C376" s="19" t="s">
        <v>1665</v>
      </c>
      <c r="D376" s="20" t="s">
        <v>1666</v>
      </c>
      <c r="E376" s="21">
        <v>250000</v>
      </c>
      <c r="F376" s="20" t="s">
        <v>21</v>
      </c>
      <c r="G376" s="20" t="s">
        <v>21</v>
      </c>
      <c r="H376" s="22" t="s">
        <v>1667</v>
      </c>
      <c r="I376" s="23" t="s">
        <v>63</v>
      </c>
      <c r="J376" s="24" t="s">
        <v>1591</v>
      </c>
      <c r="K376" s="25">
        <f t="shared" si="31"/>
        <v>45962</v>
      </c>
      <c r="L376" s="26" t="str">
        <f t="shared" si="32"/>
        <v>Nov 25</v>
      </c>
      <c r="M376" s="26" t="str">
        <f t="shared" si="33"/>
        <v>2025</v>
      </c>
      <c r="N376" s="23" t="s">
        <v>1031</v>
      </c>
      <c r="O376" s="25">
        <f t="shared" si="36"/>
        <v>45989</v>
      </c>
      <c r="P376" s="27">
        <f t="shared" si="34"/>
        <v>0</v>
      </c>
      <c r="Q376" s="27">
        <f t="shared" si="35"/>
        <v>0</v>
      </c>
      <c r="R376" s="28" t="s">
        <v>65</v>
      </c>
      <c r="S376" s="21">
        <v>32886</v>
      </c>
      <c r="T376" s="18" t="s">
        <v>23</v>
      </c>
      <c r="U376" s="14"/>
    </row>
    <row r="377" spans="1:21" x14ac:dyDescent="0.2">
      <c r="A377" s="17">
        <v>375</v>
      </c>
      <c r="B377" s="18" t="s">
        <v>1668</v>
      </c>
      <c r="C377" s="19" t="s">
        <v>1669</v>
      </c>
      <c r="D377" s="20" t="s">
        <v>1670</v>
      </c>
      <c r="E377" s="21">
        <v>170000</v>
      </c>
      <c r="F377" s="20" t="s">
        <v>21</v>
      </c>
      <c r="G377" s="20" t="s">
        <v>1671</v>
      </c>
      <c r="H377" s="22" t="s">
        <v>369</v>
      </c>
      <c r="I377" s="23" t="s">
        <v>620</v>
      </c>
      <c r="J377" s="24" t="s">
        <v>1609</v>
      </c>
      <c r="K377" s="25">
        <f t="shared" si="31"/>
        <v>45975</v>
      </c>
      <c r="L377" s="26" t="str">
        <f t="shared" si="32"/>
        <v>Nov 25</v>
      </c>
      <c r="M377" s="26" t="str">
        <f t="shared" si="33"/>
        <v>2025</v>
      </c>
      <c r="N377" s="23" t="s">
        <v>36</v>
      </c>
      <c r="O377" s="25">
        <f t="shared" si="36"/>
        <v>45994</v>
      </c>
      <c r="P377" s="27">
        <f t="shared" si="34"/>
        <v>0</v>
      </c>
      <c r="Q377" s="27">
        <f t="shared" si="35"/>
        <v>0</v>
      </c>
      <c r="R377" s="28" t="s">
        <v>1672</v>
      </c>
      <c r="S377" s="21">
        <v>10000</v>
      </c>
      <c r="T377" s="18" t="s">
        <v>23</v>
      </c>
      <c r="U377" s="14"/>
    </row>
    <row r="378" spans="1:21" x14ac:dyDescent="0.2">
      <c r="A378" s="17">
        <v>376</v>
      </c>
      <c r="B378" s="18" t="s">
        <v>1673</v>
      </c>
      <c r="C378" s="19" t="s">
        <v>1674</v>
      </c>
      <c r="D378" s="20" t="s">
        <v>1675</v>
      </c>
      <c r="E378" s="21">
        <v>38828</v>
      </c>
      <c r="F378" s="20" t="s">
        <v>21</v>
      </c>
      <c r="G378" s="20" t="s">
        <v>21</v>
      </c>
      <c r="H378" s="22" t="s">
        <v>140</v>
      </c>
      <c r="I378" s="23" t="s">
        <v>141</v>
      </c>
      <c r="J378" s="24" t="s">
        <v>1676</v>
      </c>
      <c r="K378" s="25">
        <f t="shared" si="31"/>
        <v>45969</v>
      </c>
      <c r="L378" s="26" t="str">
        <f t="shared" si="32"/>
        <v>Nov 25</v>
      </c>
      <c r="M378" s="26" t="str">
        <f t="shared" si="33"/>
        <v>2025</v>
      </c>
      <c r="N378" s="23" t="s">
        <v>1677</v>
      </c>
      <c r="O378" s="25">
        <f t="shared" si="36"/>
        <v>45999</v>
      </c>
      <c r="P378" s="27">
        <f t="shared" si="34"/>
        <v>1</v>
      </c>
      <c r="Q378" s="27">
        <f t="shared" si="35"/>
        <v>0</v>
      </c>
      <c r="R378" s="28" t="s">
        <v>1678</v>
      </c>
      <c r="S378" s="21">
        <v>18919</v>
      </c>
      <c r="T378" s="18" t="s">
        <v>23</v>
      </c>
      <c r="U378" s="14"/>
    </row>
    <row r="379" spans="1:21" x14ac:dyDescent="0.2">
      <c r="A379" s="17">
        <v>377</v>
      </c>
      <c r="B379" s="18" t="s">
        <v>1679</v>
      </c>
      <c r="C379" s="19" t="s">
        <v>1680</v>
      </c>
      <c r="D379" s="20" t="s">
        <v>1681</v>
      </c>
      <c r="E379" s="21">
        <v>1028604</v>
      </c>
      <c r="F379" s="20" t="s">
        <v>1682</v>
      </c>
      <c r="G379" s="20" t="s">
        <v>21</v>
      </c>
      <c r="H379" s="22" t="s">
        <v>140</v>
      </c>
      <c r="I379" s="23" t="s">
        <v>141</v>
      </c>
      <c r="J379" s="24" t="s">
        <v>56</v>
      </c>
      <c r="K379" s="25">
        <f t="shared" si="31"/>
        <v>45979</v>
      </c>
      <c r="L379" s="26" t="str">
        <f t="shared" si="32"/>
        <v>Nov 25</v>
      </c>
      <c r="M379" s="26" t="str">
        <f t="shared" si="33"/>
        <v>2025</v>
      </c>
      <c r="N379" s="23" t="s">
        <v>1677</v>
      </c>
      <c r="O379" s="25">
        <f t="shared" si="36"/>
        <v>45999</v>
      </c>
      <c r="P379" s="27">
        <f t="shared" si="34"/>
        <v>0</v>
      </c>
      <c r="Q379" s="27">
        <f t="shared" si="35"/>
        <v>0</v>
      </c>
      <c r="R379" s="28" t="s">
        <v>1683</v>
      </c>
      <c r="S379" s="21">
        <v>35582.400000000001</v>
      </c>
      <c r="T379" s="18" t="s">
        <v>23</v>
      </c>
      <c r="U379" s="14"/>
    </row>
    <row r="380" spans="1:21" x14ac:dyDescent="0.2">
      <c r="A380" s="17">
        <v>378</v>
      </c>
      <c r="B380" s="18" t="s">
        <v>1684</v>
      </c>
      <c r="C380" s="19" t="s">
        <v>1685</v>
      </c>
      <c r="D380" s="20" t="s">
        <v>1686</v>
      </c>
      <c r="E380" s="21">
        <v>120000</v>
      </c>
      <c r="F380" s="20" t="s">
        <v>21</v>
      </c>
      <c r="G380" s="20" t="s">
        <v>21</v>
      </c>
      <c r="H380" s="22" t="s">
        <v>1687</v>
      </c>
      <c r="I380" s="23" t="s">
        <v>1688</v>
      </c>
      <c r="J380" s="24" t="s">
        <v>41</v>
      </c>
      <c r="K380" s="25">
        <f t="shared" si="31"/>
        <v>45981</v>
      </c>
      <c r="L380" s="26" t="str">
        <f t="shared" si="32"/>
        <v>Nov 25</v>
      </c>
      <c r="M380" s="26" t="str">
        <f t="shared" si="33"/>
        <v>2025</v>
      </c>
      <c r="N380" s="23" t="s">
        <v>49</v>
      </c>
      <c r="O380" s="25">
        <f t="shared" si="36"/>
        <v>46000</v>
      </c>
      <c r="P380" s="27">
        <f t="shared" si="34"/>
        <v>0</v>
      </c>
      <c r="Q380" s="27">
        <f t="shared" si="35"/>
        <v>0</v>
      </c>
      <c r="R380" s="28" t="s">
        <v>37</v>
      </c>
      <c r="S380" s="21">
        <v>9187</v>
      </c>
      <c r="T380" s="18" t="s">
        <v>23</v>
      </c>
      <c r="U380" s="14"/>
    </row>
    <row r="381" spans="1:21" x14ac:dyDescent="0.2">
      <c r="A381" s="17">
        <v>379</v>
      </c>
      <c r="B381" s="18" t="s">
        <v>1689</v>
      </c>
      <c r="C381" s="19" t="s">
        <v>1690</v>
      </c>
      <c r="D381" s="20" t="s">
        <v>1691</v>
      </c>
      <c r="E381" s="21">
        <v>100000</v>
      </c>
      <c r="F381" s="20"/>
      <c r="G381" s="20" t="s">
        <v>21</v>
      </c>
      <c r="H381" s="22" t="s">
        <v>140</v>
      </c>
      <c r="I381" s="23" t="s">
        <v>141</v>
      </c>
      <c r="J381" s="24" t="s">
        <v>606</v>
      </c>
      <c r="K381" s="25">
        <f t="shared" si="31"/>
        <v>45972</v>
      </c>
      <c r="L381" s="26" t="str">
        <f t="shared" si="32"/>
        <v>Nov 25</v>
      </c>
      <c r="M381" s="26" t="str">
        <f t="shared" si="33"/>
        <v>2025</v>
      </c>
      <c r="N381" s="23" t="s">
        <v>1645</v>
      </c>
      <c r="O381" s="25">
        <f t="shared" si="36"/>
        <v>45993</v>
      </c>
      <c r="P381" s="27">
        <f t="shared" si="34"/>
        <v>0</v>
      </c>
      <c r="Q381" s="27">
        <f t="shared" si="35"/>
        <v>0</v>
      </c>
      <c r="R381" s="28" t="s">
        <v>1692</v>
      </c>
      <c r="S381" s="21">
        <v>61500</v>
      </c>
      <c r="T381" s="18" t="s">
        <v>23</v>
      </c>
      <c r="U381" s="14"/>
    </row>
    <row r="382" spans="1:21" x14ac:dyDescent="0.2">
      <c r="A382" s="17">
        <v>380</v>
      </c>
      <c r="B382" s="18" t="s">
        <v>1693</v>
      </c>
      <c r="C382" s="19" t="s">
        <v>1694</v>
      </c>
      <c r="D382" s="20" t="s">
        <v>1695</v>
      </c>
      <c r="E382" s="21">
        <v>170000</v>
      </c>
      <c r="F382" s="20" t="s">
        <v>21</v>
      </c>
      <c r="G382" s="20" t="s">
        <v>21</v>
      </c>
      <c r="H382" s="22" t="s">
        <v>802</v>
      </c>
      <c r="I382" s="23" t="s">
        <v>791</v>
      </c>
      <c r="J382" s="24" t="s">
        <v>1453</v>
      </c>
      <c r="K382" s="25">
        <f t="shared" si="31"/>
        <v>45940</v>
      </c>
      <c r="L382" s="26" t="str">
        <f t="shared" si="32"/>
        <v>Oct 25</v>
      </c>
      <c r="M382" s="26" t="str">
        <f t="shared" si="33"/>
        <v>2025</v>
      </c>
      <c r="N382" s="23" t="s">
        <v>49</v>
      </c>
      <c r="O382" s="25">
        <f t="shared" si="36"/>
        <v>46000</v>
      </c>
      <c r="P382" s="27">
        <f t="shared" si="34"/>
        <v>1</v>
      </c>
      <c r="Q382" s="27">
        <f t="shared" si="35"/>
        <v>0</v>
      </c>
      <c r="R382" s="28" t="s">
        <v>1696</v>
      </c>
      <c r="S382" s="21">
        <v>60669</v>
      </c>
      <c r="T382" s="18" t="s">
        <v>23</v>
      </c>
      <c r="U382" s="14"/>
    </row>
    <row r="383" spans="1:21" x14ac:dyDescent="0.2">
      <c r="A383" s="17">
        <v>381</v>
      </c>
      <c r="B383" s="18" t="s">
        <v>1697</v>
      </c>
      <c r="C383" s="19" t="s">
        <v>1698</v>
      </c>
      <c r="D383" s="20" t="s">
        <v>1699</v>
      </c>
      <c r="E383" s="21" t="s">
        <v>374</v>
      </c>
      <c r="F383" s="20"/>
      <c r="G383" s="20" t="s">
        <v>1700</v>
      </c>
      <c r="H383" s="22" t="s">
        <v>1010</v>
      </c>
      <c r="I383" s="23" t="s">
        <v>1701</v>
      </c>
      <c r="J383" s="24" t="s">
        <v>562</v>
      </c>
      <c r="K383" s="25">
        <f t="shared" si="31"/>
        <v>45724</v>
      </c>
      <c r="L383" s="26" t="str">
        <f t="shared" si="32"/>
        <v>Mar 25</v>
      </c>
      <c r="M383" s="26" t="str">
        <f t="shared" si="33"/>
        <v>2025</v>
      </c>
      <c r="N383" s="23" t="s">
        <v>1031</v>
      </c>
      <c r="O383" s="25">
        <f t="shared" si="36"/>
        <v>45989</v>
      </c>
      <c r="P383" s="27">
        <f t="shared" si="34"/>
        <v>8</v>
      </c>
      <c r="Q383" s="27">
        <f t="shared" si="35"/>
        <v>0</v>
      </c>
      <c r="R383" s="28" t="s">
        <v>1702</v>
      </c>
      <c r="S383" s="21">
        <v>30000</v>
      </c>
      <c r="T383" s="18" t="s">
        <v>23</v>
      </c>
      <c r="U383" s="14"/>
    </row>
    <row r="384" spans="1:21" x14ac:dyDescent="0.2">
      <c r="A384" s="17">
        <v>382</v>
      </c>
      <c r="B384" s="18" t="s">
        <v>1703</v>
      </c>
      <c r="C384" s="19" t="s">
        <v>758</v>
      </c>
      <c r="D384" s="20" t="s">
        <v>1704</v>
      </c>
      <c r="E384" s="21">
        <v>50000</v>
      </c>
      <c r="F384" s="20" t="s">
        <v>1705</v>
      </c>
      <c r="G384" s="20" t="s">
        <v>21</v>
      </c>
      <c r="H384" s="22" t="s">
        <v>594</v>
      </c>
      <c r="I384" s="23" t="s">
        <v>1706</v>
      </c>
      <c r="J384" s="24" t="s">
        <v>29</v>
      </c>
      <c r="K384" s="25">
        <f t="shared" si="31"/>
        <v>45980</v>
      </c>
      <c r="L384" s="26" t="str">
        <f t="shared" si="32"/>
        <v>Nov 25</v>
      </c>
      <c r="M384" s="26" t="str">
        <f t="shared" si="33"/>
        <v>2025</v>
      </c>
      <c r="N384" s="23" t="s">
        <v>49</v>
      </c>
      <c r="O384" s="25">
        <f t="shared" si="36"/>
        <v>46000</v>
      </c>
      <c r="P384" s="27">
        <f t="shared" si="34"/>
        <v>0</v>
      </c>
      <c r="Q384" s="27">
        <f t="shared" si="35"/>
        <v>0</v>
      </c>
      <c r="R384" s="28" t="s">
        <v>1707</v>
      </c>
      <c r="S384" s="21">
        <v>71100</v>
      </c>
      <c r="T384" s="18" t="s">
        <v>23</v>
      </c>
      <c r="U384" s="14"/>
    </row>
    <row r="385" spans="1:21" x14ac:dyDescent="0.2">
      <c r="A385" s="17">
        <v>383</v>
      </c>
      <c r="B385" s="18" t="s">
        <v>1708</v>
      </c>
      <c r="C385" s="19" t="s">
        <v>1709</v>
      </c>
      <c r="D385" s="20" t="s">
        <v>1710</v>
      </c>
      <c r="E385" s="21">
        <v>100000</v>
      </c>
      <c r="F385" s="20" t="s">
        <v>21</v>
      </c>
      <c r="G385" s="20" t="s">
        <v>21</v>
      </c>
      <c r="H385" s="22" t="s">
        <v>507</v>
      </c>
      <c r="I385" s="23" t="s">
        <v>1711</v>
      </c>
      <c r="J385" s="24" t="s">
        <v>1022</v>
      </c>
      <c r="K385" s="25">
        <f t="shared" si="31"/>
        <v>45953</v>
      </c>
      <c r="L385" s="26" t="str">
        <f t="shared" si="32"/>
        <v>Oct 25</v>
      </c>
      <c r="M385" s="26" t="str">
        <f t="shared" si="33"/>
        <v>2025</v>
      </c>
      <c r="N385" s="23" t="s">
        <v>1712</v>
      </c>
      <c r="O385" s="25">
        <f t="shared" si="36"/>
        <v>46002</v>
      </c>
      <c r="P385" s="27">
        <f t="shared" si="34"/>
        <v>1</v>
      </c>
      <c r="Q385" s="27">
        <f t="shared" si="35"/>
        <v>0</v>
      </c>
      <c r="R385" s="28" t="s">
        <v>1713</v>
      </c>
      <c r="S385" s="21">
        <v>90000</v>
      </c>
      <c r="T385" s="18" t="s">
        <v>23</v>
      </c>
      <c r="U385" s="14"/>
    </row>
    <row r="386" spans="1:21" x14ac:dyDescent="0.2">
      <c r="A386" s="17">
        <v>384</v>
      </c>
      <c r="B386" s="18" t="s">
        <v>1714</v>
      </c>
      <c r="C386" s="19" t="s">
        <v>1715</v>
      </c>
      <c r="D386" s="20" t="s">
        <v>1716</v>
      </c>
      <c r="E386" s="21">
        <v>120000</v>
      </c>
      <c r="F386" s="20" t="s">
        <v>1717</v>
      </c>
      <c r="G386" s="20" t="s">
        <v>21</v>
      </c>
      <c r="H386" s="22">
        <v>45931</v>
      </c>
      <c r="I386" s="23">
        <v>46295</v>
      </c>
      <c r="J386" s="24">
        <v>45995</v>
      </c>
      <c r="K386" s="25">
        <f t="shared" si="31"/>
        <v>1498575</v>
      </c>
      <c r="L386" s="26" t="str">
        <f t="shared" si="32"/>
        <v>Dec 02</v>
      </c>
      <c r="M386" s="26" t="str">
        <f t="shared" si="33"/>
        <v>6002</v>
      </c>
      <c r="N386" s="23">
        <v>46006</v>
      </c>
      <c r="O386" s="25">
        <f t="shared" si="36"/>
        <v>1499884</v>
      </c>
      <c r="P386" s="27">
        <f t="shared" si="34"/>
        <v>43</v>
      </c>
      <c r="Q386" s="27">
        <f t="shared" si="35"/>
        <v>4</v>
      </c>
      <c r="R386" s="28" t="s">
        <v>65</v>
      </c>
      <c r="S386" s="21">
        <v>10648</v>
      </c>
      <c r="T386" s="18" t="s">
        <v>23</v>
      </c>
      <c r="U386" s="14"/>
    </row>
    <row r="387" spans="1:21" x14ac:dyDescent="0.2">
      <c r="A387" s="17">
        <v>385</v>
      </c>
      <c r="B387" s="18" t="s">
        <v>1718</v>
      </c>
      <c r="C387" s="19" t="s">
        <v>1719</v>
      </c>
      <c r="D387" s="20" t="s">
        <v>1720</v>
      </c>
      <c r="E387" s="21" t="s">
        <v>374</v>
      </c>
      <c r="F387" s="20" t="s">
        <v>1721</v>
      </c>
      <c r="G387" s="20" t="s">
        <v>21</v>
      </c>
      <c r="H387" s="22" t="s">
        <v>1374</v>
      </c>
      <c r="I387" s="23" t="s">
        <v>1722</v>
      </c>
      <c r="J387" s="24" t="s">
        <v>42</v>
      </c>
      <c r="K387" s="25">
        <f t="shared" si="31"/>
        <v>45992</v>
      </c>
      <c r="L387" s="26" t="str">
        <f t="shared" si="32"/>
        <v>Dec 25</v>
      </c>
      <c r="M387" s="26" t="str">
        <f t="shared" si="33"/>
        <v>2025</v>
      </c>
      <c r="N387" s="23" t="s">
        <v>1723</v>
      </c>
      <c r="O387" s="25">
        <f t="shared" si="36"/>
        <v>45998</v>
      </c>
      <c r="P387" s="27">
        <f t="shared" si="34"/>
        <v>0</v>
      </c>
      <c r="Q387" s="27">
        <f t="shared" si="35"/>
        <v>0</v>
      </c>
      <c r="R387" s="28" t="s">
        <v>92</v>
      </c>
      <c r="S387" s="21">
        <v>4500</v>
      </c>
      <c r="T387" s="18" t="s">
        <v>23</v>
      </c>
      <c r="U387" s="14"/>
    </row>
    <row r="388" spans="1:21" x14ac:dyDescent="0.2">
      <c r="A388" s="17">
        <v>386</v>
      </c>
      <c r="B388" s="18" t="s">
        <v>1724</v>
      </c>
      <c r="C388" s="19" t="s">
        <v>1725</v>
      </c>
      <c r="D388" s="20" t="s">
        <v>1726</v>
      </c>
      <c r="E388" s="21">
        <v>380000</v>
      </c>
      <c r="F388" s="20" t="s">
        <v>21</v>
      </c>
      <c r="G388" s="20" t="s">
        <v>1727</v>
      </c>
      <c r="H388" s="22" t="s">
        <v>140</v>
      </c>
      <c r="I388" s="23" t="s">
        <v>141</v>
      </c>
      <c r="J388" s="24" t="s">
        <v>63</v>
      </c>
      <c r="K388" s="25">
        <f t="shared" ref="K388:K451" si="37">DATE(RIGHT(J388,4),MID(J388,4,2),LEFT(J388,2))</f>
        <v>46003</v>
      </c>
      <c r="L388" s="26" t="str">
        <f t="shared" ref="L388:L451" si="38">TEXT(K388,"MMM YY")</f>
        <v>Dec 25</v>
      </c>
      <c r="M388" s="26" t="str">
        <f t="shared" ref="M388:M451" si="39">TEXT(K388,"yyyy")</f>
        <v>2025</v>
      </c>
      <c r="N388" s="23" t="s">
        <v>1728</v>
      </c>
      <c r="O388" s="25">
        <f t="shared" si="36"/>
        <v>46009</v>
      </c>
      <c r="P388" s="27">
        <f t="shared" ref="P388:P451" si="40">DATEDIF(K388,O388,"M")</f>
        <v>0</v>
      </c>
      <c r="Q388" s="27">
        <f t="shared" ref="Q388:Q451" si="41">YEAR(O388)-YEAR(K388)</f>
        <v>0</v>
      </c>
      <c r="R388" s="28" t="s">
        <v>1729</v>
      </c>
      <c r="S388" s="21">
        <v>75063.600000000006</v>
      </c>
      <c r="T388" s="18" t="s">
        <v>23</v>
      </c>
      <c r="U388" s="14"/>
    </row>
    <row r="389" spans="1:21" x14ac:dyDescent="0.2">
      <c r="A389" s="17">
        <v>387</v>
      </c>
      <c r="B389" s="18" t="s">
        <v>1730</v>
      </c>
      <c r="C389" s="19" t="s">
        <v>1731</v>
      </c>
      <c r="D389" s="20" t="s">
        <v>1732</v>
      </c>
      <c r="E389" s="21" t="s">
        <v>882</v>
      </c>
      <c r="F389" s="20" t="s">
        <v>21</v>
      </c>
      <c r="G389" s="20" t="s">
        <v>21</v>
      </c>
      <c r="H389" s="22" t="s">
        <v>103</v>
      </c>
      <c r="I389" s="23" t="s">
        <v>620</v>
      </c>
      <c r="J389" s="24" t="s">
        <v>538</v>
      </c>
      <c r="K389" s="25">
        <f t="shared" si="37"/>
        <v>46013</v>
      </c>
      <c r="L389" s="26" t="str">
        <f t="shared" si="38"/>
        <v>Dec 25</v>
      </c>
      <c r="M389" s="26" t="str">
        <f t="shared" si="39"/>
        <v>2025</v>
      </c>
      <c r="N389" s="23" t="s">
        <v>57</v>
      </c>
      <c r="O389" s="25">
        <f t="shared" si="36"/>
        <v>46015</v>
      </c>
      <c r="P389" s="27">
        <f t="shared" si="40"/>
        <v>0</v>
      </c>
      <c r="Q389" s="27">
        <f t="shared" si="41"/>
        <v>0</v>
      </c>
      <c r="R389" s="28" t="s">
        <v>37</v>
      </c>
      <c r="S389" s="21">
        <v>19350</v>
      </c>
      <c r="T389" s="18" t="s">
        <v>23</v>
      </c>
      <c r="U389" s="14"/>
    </row>
    <row r="390" spans="1:21" x14ac:dyDescent="0.2">
      <c r="A390" s="17">
        <v>388</v>
      </c>
      <c r="B390" s="18" t="s">
        <v>895</v>
      </c>
      <c r="C390" s="19" t="s">
        <v>1733</v>
      </c>
      <c r="D390" s="20" t="s">
        <v>1734</v>
      </c>
      <c r="E390" s="21">
        <v>739500</v>
      </c>
      <c r="F390" s="20" t="s">
        <v>21</v>
      </c>
      <c r="G390" s="20" t="s">
        <v>21</v>
      </c>
      <c r="H390" s="22" t="s">
        <v>593</v>
      </c>
      <c r="I390" s="23" t="s">
        <v>1735</v>
      </c>
      <c r="J390" s="24" t="s">
        <v>41</v>
      </c>
      <c r="K390" s="25">
        <f t="shared" si="37"/>
        <v>45981</v>
      </c>
      <c r="L390" s="26" t="str">
        <f t="shared" si="38"/>
        <v>Nov 25</v>
      </c>
      <c r="M390" s="26" t="str">
        <f t="shared" si="39"/>
        <v>2025</v>
      </c>
      <c r="N390" s="23" t="s">
        <v>1736</v>
      </c>
      <c r="O390" s="25">
        <f t="shared" si="36"/>
        <v>46010</v>
      </c>
      <c r="P390" s="27">
        <f t="shared" si="40"/>
        <v>0</v>
      </c>
      <c r="Q390" s="27">
        <f t="shared" si="41"/>
        <v>0</v>
      </c>
      <c r="R390" s="28" t="s">
        <v>37</v>
      </c>
      <c r="S390" s="21">
        <v>38700</v>
      </c>
      <c r="T390" s="18" t="s">
        <v>23</v>
      </c>
      <c r="U390" s="14"/>
    </row>
    <row r="391" spans="1:21" x14ac:dyDescent="0.2">
      <c r="A391" s="17">
        <v>389</v>
      </c>
      <c r="B391" s="18" t="s">
        <v>895</v>
      </c>
      <c r="C391" s="19" t="s">
        <v>1737</v>
      </c>
      <c r="D391" s="20" t="s">
        <v>1738</v>
      </c>
      <c r="E391" s="21">
        <v>350000</v>
      </c>
      <c r="F391" s="20" t="s">
        <v>1739</v>
      </c>
      <c r="G391" s="20" t="s">
        <v>21</v>
      </c>
      <c r="H391" s="22">
        <v>1.012025</v>
      </c>
      <c r="I391" s="23" t="s">
        <v>141</v>
      </c>
      <c r="J391" s="24" t="s">
        <v>1723</v>
      </c>
      <c r="K391" s="25">
        <f t="shared" si="37"/>
        <v>45998</v>
      </c>
      <c r="L391" s="26" t="str">
        <f t="shared" si="38"/>
        <v>Dec 25</v>
      </c>
      <c r="M391" s="26" t="str">
        <f t="shared" si="39"/>
        <v>2025</v>
      </c>
      <c r="N391" s="23" t="s">
        <v>1736</v>
      </c>
      <c r="O391" s="25">
        <f t="shared" si="36"/>
        <v>46010</v>
      </c>
      <c r="P391" s="27">
        <f t="shared" si="40"/>
        <v>0</v>
      </c>
      <c r="Q391" s="27">
        <f t="shared" si="41"/>
        <v>0</v>
      </c>
      <c r="R391" s="28" t="s">
        <v>37</v>
      </c>
      <c r="S391" s="21">
        <v>44100</v>
      </c>
      <c r="T391" s="18" t="s">
        <v>23</v>
      </c>
      <c r="U391" s="14"/>
    </row>
    <row r="392" spans="1:21" x14ac:dyDescent="0.2">
      <c r="A392" s="17">
        <v>390</v>
      </c>
      <c r="B392" s="18" t="s">
        <v>1740</v>
      </c>
      <c r="C392" s="19" t="s">
        <v>1741</v>
      </c>
      <c r="D392" s="20" t="s">
        <v>1742</v>
      </c>
      <c r="E392" s="21">
        <v>281253.25</v>
      </c>
      <c r="F392" s="20" t="s">
        <v>21</v>
      </c>
      <c r="G392" s="20" t="s">
        <v>21</v>
      </c>
      <c r="H392" s="22" t="s">
        <v>140</v>
      </c>
      <c r="I392" s="23" t="s">
        <v>141</v>
      </c>
      <c r="J392" s="24" t="s">
        <v>914</v>
      </c>
      <c r="K392" s="25">
        <f t="shared" si="37"/>
        <v>45926</v>
      </c>
      <c r="L392" s="26" t="str">
        <f t="shared" si="38"/>
        <v>Sep 25</v>
      </c>
      <c r="M392" s="26" t="str">
        <f t="shared" si="39"/>
        <v>2025</v>
      </c>
      <c r="N392" s="23" t="s">
        <v>57</v>
      </c>
      <c r="O392" s="25">
        <f t="shared" si="36"/>
        <v>46015</v>
      </c>
      <c r="P392" s="27">
        <f t="shared" si="40"/>
        <v>2</v>
      </c>
      <c r="Q392" s="27">
        <f t="shared" si="41"/>
        <v>0</v>
      </c>
      <c r="R392" s="28" t="s">
        <v>37</v>
      </c>
      <c r="S392" s="21">
        <v>18000</v>
      </c>
      <c r="T392" s="18" t="s">
        <v>23</v>
      </c>
      <c r="U392" s="14"/>
    </row>
    <row r="393" spans="1:21" x14ac:dyDescent="0.2">
      <c r="A393" s="17">
        <v>391</v>
      </c>
      <c r="B393" s="18" t="s">
        <v>1743</v>
      </c>
      <c r="C393" s="19" t="s">
        <v>1744</v>
      </c>
      <c r="D393" s="20" t="s">
        <v>1745</v>
      </c>
      <c r="E393" s="21">
        <v>120000</v>
      </c>
      <c r="F393" s="20" t="s">
        <v>21</v>
      </c>
      <c r="G393" s="20" t="s">
        <v>21</v>
      </c>
      <c r="H393" s="22" t="s">
        <v>1746</v>
      </c>
      <c r="I393" s="23" t="s">
        <v>1747</v>
      </c>
      <c r="J393" s="24" t="s">
        <v>1748</v>
      </c>
      <c r="K393" s="25">
        <f t="shared" si="37"/>
        <v>45963</v>
      </c>
      <c r="L393" s="26" t="str">
        <f t="shared" si="38"/>
        <v>Nov 25</v>
      </c>
      <c r="M393" s="26" t="str">
        <f t="shared" si="39"/>
        <v>2025</v>
      </c>
      <c r="N393" s="23" t="s">
        <v>64</v>
      </c>
      <c r="O393" s="25">
        <f t="shared" si="36"/>
        <v>46017</v>
      </c>
      <c r="P393" s="27">
        <f t="shared" si="40"/>
        <v>1</v>
      </c>
      <c r="Q393" s="27">
        <f t="shared" si="41"/>
        <v>0</v>
      </c>
      <c r="R393" s="28" t="s">
        <v>37</v>
      </c>
      <c r="S393" s="21">
        <v>39600</v>
      </c>
      <c r="T393" s="18" t="s">
        <v>23</v>
      </c>
      <c r="U393" s="14"/>
    </row>
    <row r="394" spans="1:21" x14ac:dyDescent="0.2">
      <c r="A394" s="17">
        <v>392</v>
      </c>
      <c r="B394" s="18" t="s">
        <v>1749</v>
      </c>
      <c r="C394" s="19" t="s">
        <v>1750</v>
      </c>
      <c r="D394" s="20" t="s">
        <v>1751</v>
      </c>
      <c r="E394" s="21">
        <v>50000</v>
      </c>
      <c r="F394" s="20" t="s">
        <v>21</v>
      </c>
      <c r="G394" s="20" t="s">
        <v>21</v>
      </c>
      <c r="H394" s="22" t="s">
        <v>128</v>
      </c>
      <c r="I394" s="23" t="s">
        <v>141</v>
      </c>
      <c r="J394" s="24" t="s">
        <v>1752</v>
      </c>
      <c r="K394" s="25">
        <f t="shared" si="37"/>
        <v>45995</v>
      </c>
      <c r="L394" s="26" t="str">
        <f t="shared" si="38"/>
        <v>Dec 25</v>
      </c>
      <c r="M394" s="26" t="str">
        <f t="shared" si="39"/>
        <v>2025</v>
      </c>
      <c r="N394" s="23" t="s">
        <v>57</v>
      </c>
      <c r="O394" s="25">
        <f t="shared" si="36"/>
        <v>46015</v>
      </c>
      <c r="P394" s="27">
        <f t="shared" si="40"/>
        <v>0</v>
      </c>
      <c r="Q394" s="27">
        <f t="shared" si="41"/>
        <v>0</v>
      </c>
      <c r="R394" s="28" t="s">
        <v>37</v>
      </c>
      <c r="S394" s="21">
        <v>45000</v>
      </c>
      <c r="T394" s="18" t="s">
        <v>23</v>
      </c>
      <c r="U394" s="14"/>
    </row>
    <row r="395" spans="1:21" x14ac:dyDescent="0.2">
      <c r="A395" s="17">
        <v>393</v>
      </c>
      <c r="B395" s="18" t="s">
        <v>1753</v>
      </c>
      <c r="C395" s="19" t="s">
        <v>1754</v>
      </c>
      <c r="D395" s="20" t="s">
        <v>1755</v>
      </c>
      <c r="E395" s="21">
        <v>70000</v>
      </c>
      <c r="F395" s="20" t="s">
        <v>21</v>
      </c>
      <c r="G395" s="20" t="s">
        <v>21</v>
      </c>
      <c r="H395" s="22" t="s">
        <v>292</v>
      </c>
      <c r="I395" s="23" t="s">
        <v>1756</v>
      </c>
      <c r="J395" s="24" t="s">
        <v>63</v>
      </c>
      <c r="K395" s="25">
        <f t="shared" si="37"/>
        <v>46003</v>
      </c>
      <c r="L395" s="26" t="str">
        <f t="shared" si="38"/>
        <v>Dec 25</v>
      </c>
      <c r="M395" s="26" t="str">
        <f t="shared" si="39"/>
        <v>2025</v>
      </c>
      <c r="N395" s="23" t="s">
        <v>1102</v>
      </c>
      <c r="O395" s="25">
        <f t="shared" si="36"/>
        <v>46008</v>
      </c>
      <c r="P395" s="27">
        <f t="shared" si="40"/>
        <v>0</v>
      </c>
      <c r="Q395" s="27">
        <f t="shared" si="41"/>
        <v>0</v>
      </c>
      <c r="R395" s="28" t="s">
        <v>65</v>
      </c>
      <c r="S395" s="21">
        <v>17408</v>
      </c>
      <c r="T395" s="18" t="s">
        <v>23</v>
      </c>
      <c r="U395" s="14"/>
    </row>
    <row r="396" spans="1:21" x14ac:dyDescent="0.2">
      <c r="A396" s="17">
        <v>394</v>
      </c>
      <c r="B396" s="18" t="s">
        <v>1757</v>
      </c>
      <c r="C396" s="19" t="s">
        <v>1758</v>
      </c>
      <c r="D396" s="20" t="s">
        <v>1759</v>
      </c>
      <c r="E396" s="21">
        <v>70000</v>
      </c>
      <c r="F396" s="20" t="s">
        <v>21</v>
      </c>
      <c r="G396" s="20"/>
      <c r="H396" s="22" t="s">
        <v>1760</v>
      </c>
      <c r="I396" s="23" t="s">
        <v>538</v>
      </c>
      <c r="J396" s="24" t="s">
        <v>538</v>
      </c>
      <c r="K396" s="25">
        <f t="shared" si="37"/>
        <v>46013</v>
      </c>
      <c r="L396" s="26" t="str">
        <f t="shared" si="38"/>
        <v>Dec 25</v>
      </c>
      <c r="M396" s="26" t="str">
        <f t="shared" si="39"/>
        <v>2025</v>
      </c>
      <c r="N396" s="23" t="s">
        <v>538</v>
      </c>
      <c r="O396" s="25">
        <f t="shared" si="36"/>
        <v>46013</v>
      </c>
      <c r="P396" s="27">
        <f t="shared" si="40"/>
        <v>0</v>
      </c>
      <c r="Q396" s="27">
        <f t="shared" si="41"/>
        <v>0</v>
      </c>
      <c r="R396" s="28" t="s">
        <v>1729</v>
      </c>
      <c r="S396" s="21">
        <v>15300</v>
      </c>
      <c r="T396" s="18" t="s">
        <v>23</v>
      </c>
      <c r="U396" s="14"/>
    </row>
    <row r="397" spans="1:21" x14ac:dyDescent="0.2">
      <c r="A397" s="17">
        <v>395</v>
      </c>
      <c r="B397" s="18" t="s">
        <v>1761</v>
      </c>
      <c r="C397" s="19" t="s">
        <v>1762</v>
      </c>
      <c r="D397" s="20" t="s">
        <v>1763</v>
      </c>
      <c r="E397" s="21">
        <v>150000</v>
      </c>
      <c r="F397" s="20" t="s">
        <v>21</v>
      </c>
      <c r="G397" s="20" t="s">
        <v>21</v>
      </c>
      <c r="H397" s="22" t="s">
        <v>140</v>
      </c>
      <c r="I397" s="23" t="s">
        <v>141</v>
      </c>
      <c r="J397" s="24" t="s">
        <v>1518</v>
      </c>
      <c r="K397" s="25">
        <f t="shared" si="37"/>
        <v>45941</v>
      </c>
      <c r="L397" s="26" t="str">
        <f t="shared" si="38"/>
        <v>Oct 25</v>
      </c>
      <c r="M397" s="26" t="str">
        <f t="shared" si="39"/>
        <v>2025</v>
      </c>
      <c r="N397" s="23" t="s">
        <v>36</v>
      </c>
      <c r="O397" s="25">
        <f t="shared" si="36"/>
        <v>45994</v>
      </c>
      <c r="P397" s="27">
        <f t="shared" si="40"/>
        <v>1</v>
      </c>
      <c r="Q397" s="27">
        <f t="shared" si="41"/>
        <v>0</v>
      </c>
      <c r="R397" s="28" t="s">
        <v>71</v>
      </c>
      <c r="S397" s="21">
        <v>2150</v>
      </c>
      <c r="T397" s="18" t="s">
        <v>23</v>
      </c>
      <c r="U397" s="14"/>
    </row>
    <row r="398" spans="1:21" x14ac:dyDescent="0.2">
      <c r="A398" s="17">
        <v>396</v>
      </c>
      <c r="B398" s="18" t="s">
        <v>1764</v>
      </c>
      <c r="C398" s="19" t="s">
        <v>1765</v>
      </c>
      <c r="D398" s="20" t="s">
        <v>1766</v>
      </c>
      <c r="E398" s="21">
        <v>800000</v>
      </c>
      <c r="F398" s="20" t="s">
        <v>21</v>
      </c>
      <c r="G398" s="20" t="s">
        <v>21</v>
      </c>
      <c r="H398" s="22" t="s">
        <v>563</v>
      </c>
      <c r="I398" s="23" t="s">
        <v>1767</v>
      </c>
      <c r="J398" s="24" t="s">
        <v>1331</v>
      </c>
      <c r="K398" s="25">
        <f t="shared" si="37"/>
        <v>46012</v>
      </c>
      <c r="L398" s="26" t="str">
        <f t="shared" si="38"/>
        <v>Dec 25</v>
      </c>
      <c r="M398" s="26" t="str">
        <f t="shared" si="39"/>
        <v>2025</v>
      </c>
      <c r="N398" s="23" t="s">
        <v>87</v>
      </c>
      <c r="O398" s="25">
        <f t="shared" si="36"/>
        <v>46021</v>
      </c>
      <c r="P398" s="27">
        <f t="shared" si="40"/>
        <v>0</v>
      </c>
      <c r="Q398" s="27">
        <f t="shared" si="41"/>
        <v>0</v>
      </c>
      <c r="R398" s="28" t="s">
        <v>1768</v>
      </c>
      <c r="S398" s="21">
        <v>10464</v>
      </c>
      <c r="T398" s="18" t="s">
        <v>23</v>
      </c>
      <c r="U398" s="14"/>
    </row>
    <row r="399" spans="1:21" x14ac:dyDescent="0.2">
      <c r="A399" s="17">
        <v>397</v>
      </c>
      <c r="B399" s="18" t="s">
        <v>1769</v>
      </c>
      <c r="C399" s="19" t="s">
        <v>1770</v>
      </c>
      <c r="D399" s="20" t="s">
        <v>1771</v>
      </c>
      <c r="E399" s="21">
        <v>120000</v>
      </c>
      <c r="F399" s="20" t="s">
        <v>21</v>
      </c>
      <c r="G399" s="20" t="s">
        <v>21</v>
      </c>
      <c r="H399" s="22" t="s">
        <v>27</v>
      </c>
      <c r="I399" s="23" t="s">
        <v>28</v>
      </c>
      <c r="J399" s="24" t="s">
        <v>1736</v>
      </c>
      <c r="K399" s="25">
        <f t="shared" si="37"/>
        <v>46010</v>
      </c>
      <c r="L399" s="26" t="str">
        <f t="shared" si="38"/>
        <v>Dec 25</v>
      </c>
      <c r="M399" s="26" t="str">
        <f t="shared" si="39"/>
        <v>2025</v>
      </c>
      <c r="N399" s="23" t="s">
        <v>64</v>
      </c>
      <c r="O399" s="25">
        <f t="shared" si="36"/>
        <v>46017</v>
      </c>
      <c r="P399" s="27">
        <f t="shared" si="40"/>
        <v>0</v>
      </c>
      <c r="Q399" s="27">
        <f t="shared" si="41"/>
        <v>0</v>
      </c>
      <c r="R399" s="28" t="s">
        <v>1772</v>
      </c>
      <c r="S399" s="21">
        <v>5200</v>
      </c>
      <c r="T399" s="18" t="s">
        <v>23</v>
      </c>
      <c r="U399" s="14"/>
    </row>
    <row r="400" spans="1:21" x14ac:dyDescent="0.2">
      <c r="A400" s="17">
        <v>398</v>
      </c>
      <c r="B400" s="18" t="s">
        <v>778</v>
      </c>
      <c r="C400" s="19" t="s">
        <v>1773</v>
      </c>
      <c r="D400" s="20" t="s">
        <v>780</v>
      </c>
      <c r="E400" s="21" t="s">
        <v>374</v>
      </c>
      <c r="F400" s="20" t="s">
        <v>21</v>
      </c>
      <c r="G400" s="20" t="s">
        <v>21</v>
      </c>
      <c r="H400" s="22">
        <v>45581</v>
      </c>
      <c r="I400" s="23">
        <v>45945</v>
      </c>
      <c r="J400" s="24">
        <v>45779</v>
      </c>
      <c r="K400" s="25">
        <f t="shared" si="37"/>
        <v>1419195</v>
      </c>
      <c r="L400" s="26" t="str">
        <f t="shared" si="38"/>
        <v>Aug 85</v>
      </c>
      <c r="M400" s="26" t="str">
        <f t="shared" si="39"/>
        <v>5785</v>
      </c>
      <c r="N400" s="23" t="s">
        <v>720</v>
      </c>
      <c r="O400" s="25">
        <f t="shared" si="36"/>
        <v>45784</v>
      </c>
      <c r="P400" s="27" t="e">
        <f t="shared" si="40"/>
        <v>#NUM!</v>
      </c>
      <c r="Q400" s="27">
        <f t="shared" si="41"/>
        <v>-3760</v>
      </c>
      <c r="R400" s="28" t="s">
        <v>22</v>
      </c>
      <c r="S400" s="21">
        <v>31225</v>
      </c>
      <c r="T400" s="18" t="s">
        <v>23</v>
      </c>
      <c r="U400" s="14"/>
    </row>
    <row r="401" spans="1:21" x14ac:dyDescent="0.2">
      <c r="A401" s="17">
        <v>399</v>
      </c>
      <c r="B401" s="18" t="s">
        <v>1774</v>
      </c>
      <c r="C401" s="19" t="s">
        <v>1775</v>
      </c>
      <c r="D401" s="20" t="s">
        <v>1776</v>
      </c>
      <c r="E401" s="21">
        <v>30000</v>
      </c>
      <c r="F401" s="20" t="s">
        <v>1777</v>
      </c>
      <c r="G401" s="20" t="s">
        <v>21</v>
      </c>
      <c r="H401" s="22" t="s">
        <v>512</v>
      </c>
      <c r="I401" s="23" t="s">
        <v>589</v>
      </c>
      <c r="J401" s="24" t="s">
        <v>1023</v>
      </c>
      <c r="K401" s="25">
        <f t="shared" si="37"/>
        <v>45855</v>
      </c>
      <c r="L401" s="26" t="str">
        <f t="shared" si="38"/>
        <v>Jul 25</v>
      </c>
      <c r="M401" s="26" t="str">
        <f t="shared" si="39"/>
        <v>2025</v>
      </c>
      <c r="N401" s="23" t="s">
        <v>1427</v>
      </c>
      <c r="O401" s="25">
        <f t="shared" si="36"/>
        <v>45925</v>
      </c>
      <c r="P401" s="27">
        <f t="shared" si="40"/>
        <v>2</v>
      </c>
      <c r="Q401" s="27">
        <f t="shared" si="41"/>
        <v>0</v>
      </c>
      <c r="R401" s="28" t="s">
        <v>22</v>
      </c>
      <c r="S401" s="21">
        <v>38901</v>
      </c>
      <c r="T401" s="18" t="s">
        <v>23</v>
      </c>
      <c r="U401" s="14"/>
    </row>
    <row r="402" spans="1:21" x14ac:dyDescent="0.2">
      <c r="A402" s="17">
        <v>400</v>
      </c>
      <c r="B402" s="18" t="s">
        <v>1778</v>
      </c>
      <c r="C402" s="19" t="s">
        <v>1779</v>
      </c>
      <c r="D402" s="20" t="s">
        <v>1780</v>
      </c>
      <c r="E402" s="21">
        <v>120000</v>
      </c>
      <c r="F402" s="20" t="s">
        <v>1781</v>
      </c>
      <c r="G402" s="20" t="s">
        <v>21</v>
      </c>
      <c r="H402" s="22">
        <v>45961</v>
      </c>
      <c r="I402" s="23">
        <v>45960</v>
      </c>
      <c r="J402" s="24">
        <v>45961</v>
      </c>
      <c r="K402" s="25">
        <f t="shared" si="37"/>
        <v>1485122</v>
      </c>
      <c r="L402" s="26" t="str">
        <f t="shared" si="38"/>
        <v>Feb 66</v>
      </c>
      <c r="M402" s="26" t="str">
        <f t="shared" si="39"/>
        <v>5966</v>
      </c>
      <c r="N402" s="23" t="s">
        <v>77</v>
      </c>
      <c r="O402" s="25">
        <f t="shared" si="36"/>
        <v>46007</v>
      </c>
      <c r="P402" s="27" t="e">
        <f t="shared" si="40"/>
        <v>#NUM!</v>
      </c>
      <c r="Q402" s="27">
        <f t="shared" si="41"/>
        <v>-3941</v>
      </c>
      <c r="R402" s="28" t="s">
        <v>1729</v>
      </c>
      <c r="S402" s="21">
        <v>19350</v>
      </c>
      <c r="T402" s="18" t="s">
        <v>23</v>
      </c>
      <c r="U402" s="14"/>
    </row>
    <row r="403" spans="1:21" x14ac:dyDescent="0.2">
      <c r="A403" s="17">
        <v>401</v>
      </c>
      <c r="B403" s="18" t="s">
        <v>1782</v>
      </c>
      <c r="C403" s="19" t="s">
        <v>1783</v>
      </c>
      <c r="D403" s="20" t="s">
        <v>1784</v>
      </c>
      <c r="E403" s="21" t="s">
        <v>374</v>
      </c>
      <c r="F403" s="20" t="s">
        <v>1785</v>
      </c>
      <c r="G403" s="20" t="s">
        <v>21</v>
      </c>
      <c r="H403" s="22" t="s">
        <v>140</v>
      </c>
      <c r="I403" s="23" t="s">
        <v>98</v>
      </c>
      <c r="J403" s="24" t="s">
        <v>134</v>
      </c>
      <c r="K403" s="25">
        <f t="shared" si="37"/>
        <v>45643</v>
      </c>
      <c r="L403" s="26" t="str">
        <f t="shared" si="38"/>
        <v>Dec 24</v>
      </c>
      <c r="M403" s="26" t="str">
        <f t="shared" si="39"/>
        <v>2024</v>
      </c>
      <c r="N403" s="23" t="s">
        <v>1469</v>
      </c>
      <c r="O403" s="25">
        <f t="shared" ref="O403:O466" si="42">DATE(RIGHT(N403,4),MID(N403,4,2),LEFT(N403,2))</f>
        <v>45929</v>
      </c>
      <c r="P403" s="27">
        <f t="shared" si="40"/>
        <v>9</v>
      </c>
      <c r="Q403" s="27">
        <f t="shared" si="41"/>
        <v>1</v>
      </c>
      <c r="R403" s="28" t="s">
        <v>65</v>
      </c>
      <c r="S403" s="21">
        <v>9396</v>
      </c>
      <c r="T403" s="18" t="s">
        <v>23</v>
      </c>
      <c r="U403" s="14"/>
    </row>
    <row r="404" spans="1:21" x14ac:dyDescent="0.2">
      <c r="A404" s="17">
        <v>402</v>
      </c>
      <c r="B404" s="18" t="s">
        <v>1567</v>
      </c>
      <c r="C404" s="19" t="s">
        <v>1786</v>
      </c>
      <c r="D404" s="20" t="s">
        <v>1787</v>
      </c>
      <c r="E404" s="21" t="s">
        <v>1788</v>
      </c>
      <c r="F404" s="20"/>
      <c r="G404" s="20"/>
      <c r="H404" s="22">
        <v>45676</v>
      </c>
      <c r="I404" s="23">
        <v>46040</v>
      </c>
      <c r="J404" s="24" t="s">
        <v>1571</v>
      </c>
      <c r="K404" s="25">
        <f t="shared" si="37"/>
        <v>45965</v>
      </c>
      <c r="L404" s="26" t="str">
        <f t="shared" si="38"/>
        <v>Nov 25</v>
      </c>
      <c r="M404" s="26" t="str">
        <f t="shared" si="39"/>
        <v>2025</v>
      </c>
      <c r="N404" s="23">
        <v>45937</v>
      </c>
      <c r="O404" s="25">
        <f t="shared" si="42"/>
        <v>1475625</v>
      </c>
      <c r="P404" s="27">
        <f t="shared" si="40"/>
        <v>46971</v>
      </c>
      <c r="Q404" s="27">
        <f t="shared" si="41"/>
        <v>3915</v>
      </c>
      <c r="R404" s="28" t="s">
        <v>65</v>
      </c>
      <c r="S404" s="21">
        <v>8613</v>
      </c>
      <c r="T404" s="18" t="s">
        <v>23</v>
      </c>
      <c r="U404" s="14"/>
    </row>
    <row r="405" spans="1:21" x14ac:dyDescent="0.2">
      <c r="A405" s="17">
        <v>403</v>
      </c>
      <c r="B405" s="18" t="s">
        <v>1789</v>
      </c>
      <c r="C405" s="19" t="s">
        <v>1790</v>
      </c>
      <c r="D405" s="20" t="s">
        <v>1791</v>
      </c>
      <c r="E405" s="21" t="s">
        <v>1792</v>
      </c>
      <c r="F405" s="20" t="s">
        <v>21</v>
      </c>
      <c r="G405" s="20" t="s">
        <v>21</v>
      </c>
      <c r="H405" s="22" t="s">
        <v>1793</v>
      </c>
      <c r="I405" s="23" t="s">
        <v>861</v>
      </c>
      <c r="J405" s="24" t="s">
        <v>1794</v>
      </c>
      <c r="K405" s="25">
        <f t="shared" si="37"/>
        <v>45983</v>
      </c>
      <c r="L405" s="26" t="str">
        <f t="shared" si="38"/>
        <v>Nov 25</v>
      </c>
      <c r="M405" s="26" t="str">
        <f t="shared" si="39"/>
        <v>2025</v>
      </c>
      <c r="N405" s="23" t="s">
        <v>516</v>
      </c>
      <c r="O405" s="25">
        <f t="shared" si="42"/>
        <v>45672</v>
      </c>
      <c r="P405" s="27" t="e">
        <f t="shared" si="40"/>
        <v>#NUM!</v>
      </c>
      <c r="Q405" s="27">
        <f t="shared" si="41"/>
        <v>0</v>
      </c>
      <c r="R405" s="28" t="s">
        <v>22</v>
      </c>
      <c r="S405" s="21">
        <v>6771.33</v>
      </c>
      <c r="T405" s="18" t="s">
        <v>23</v>
      </c>
      <c r="U405" s="14"/>
    </row>
    <row r="406" spans="1:21" x14ac:dyDescent="0.2">
      <c r="A406" s="17">
        <v>404</v>
      </c>
      <c r="B406" s="18" t="s">
        <v>1795</v>
      </c>
      <c r="C406" s="19" t="s">
        <v>1796</v>
      </c>
      <c r="D406" s="20" t="s">
        <v>1797</v>
      </c>
      <c r="E406" s="21" t="s">
        <v>1798</v>
      </c>
      <c r="F406" s="20" t="s">
        <v>21</v>
      </c>
      <c r="G406" s="20" t="s">
        <v>21</v>
      </c>
      <c r="H406" s="22" t="s">
        <v>1010</v>
      </c>
      <c r="I406" s="23" t="s">
        <v>1011</v>
      </c>
      <c r="J406" s="24" t="s">
        <v>264</v>
      </c>
      <c r="K406" s="25">
        <f t="shared" si="37"/>
        <v>45656</v>
      </c>
      <c r="L406" s="26" t="str">
        <f t="shared" si="38"/>
        <v>Dec 24</v>
      </c>
      <c r="M406" s="26" t="str">
        <f t="shared" si="39"/>
        <v>2024</v>
      </c>
      <c r="N406" s="23" t="s">
        <v>152</v>
      </c>
      <c r="O406" s="25">
        <f t="shared" si="42"/>
        <v>45659</v>
      </c>
      <c r="P406" s="27">
        <f t="shared" si="40"/>
        <v>0</v>
      </c>
      <c r="Q406" s="27">
        <f t="shared" si="41"/>
        <v>1</v>
      </c>
      <c r="R406" s="28" t="s">
        <v>22</v>
      </c>
      <c r="S406" s="21">
        <v>7380</v>
      </c>
      <c r="T406" s="18" t="s">
        <v>23</v>
      </c>
      <c r="U406" s="14"/>
    </row>
    <row r="407" spans="1:21" x14ac:dyDescent="0.2">
      <c r="A407" s="17">
        <v>405</v>
      </c>
      <c r="B407" s="18" t="s">
        <v>449</v>
      </c>
      <c r="C407" s="19" t="s">
        <v>1799</v>
      </c>
      <c r="D407" s="20" t="s">
        <v>1800</v>
      </c>
      <c r="E407" s="21" t="s">
        <v>1801</v>
      </c>
      <c r="F407" s="20" t="s">
        <v>21</v>
      </c>
      <c r="G407" s="20" t="s">
        <v>21</v>
      </c>
      <c r="H407" s="22" t="s">
        <v>605</v>
      </c>
      <c r="I407" s="23" t="s">
        <v>1802</v>
      </c>
      <c r="J407" s="24" t="s">
        <v>142</v>
      </c>
      <c r="K407" s="25">
        <f t="shared" si="37"/>
        <v>45665</v>
      </c>
      <c r="L407" s="26" t="str">
        <f t="shared" si="38"/>
        <v>Jan 25</v>
      </c>
      <c r="M407" s="26" t="str">
        <f t="shared" si="39"/>
        <v>2025</v>
      </c>
      <c r="N407" s="23" t="s">
        <v>370</v>
      </c>
      <c r="O407" s="25">
        <f t="shared" si="42"/>
        <v>45679</v>
      </c>
      <c r="P407" s="27">
        <f t="shared" si="40"/>
        <v>0</v>
      </c>
      <c r="Q407" s="27">
        <f t="shared" si="41"/>
        <v>0</v>
      </c>
      <c r="R407" s="28" t="s">
        <v>22</v>
      </c>
      <c r="S407" s="21">
        <v>3960</v>
      </c>
      <c r="T407" s="18" t="s">
        <v>23</v>
      </c>
      <c r="U407" s="14"/>
    </row>
    <row r="408" spans="1:21" x14ac:dyDescent="0.2">
      <c r="A408" s="17">
        <v>406</v>
      </c>
      <c r="B408" s="18" t="s">
        <v>1803</v>
      </c>
      <c r="C408" s="19" t="s">
        <v>1804</v>
      </c>
      <c r="D408" s="20" t="s">
        <v>1805</v>
      </c>
      <c r="E408" s="21" t="s">
        <v>1806</v>
      </c>
      <c r="F408" s="20" t="s">
        <v>21</v>
      </c>
      <c r="G408" s="20" t="s">
        <v>1807</v>
      </c>
      <c r="H408" s="22" t="s">
        <v>1808</v>
      </c>
      <c r="I408" s="23" t="s">
        <v>1809</v>
      </c>
      <c r="J408" s="24" t="s">
        <v>1810</v>
      </c>
      <c r="K408" s="25">
        <f t="shared" si="37"/>
        <v>45421</v>
      </c>
      <c r="L408" s="26" t="str">
        <f t="shared" si="38"/>
        <v>May 24</v>
      </c>
      <c r="M408" s="26" t="str">
        <f t="shared" si="39"/>
        <v>2024</v>
      </c>
      <c r="N408" s="23" t="s">
        <v>42</v>
      </c>
      <c r="O408" s="25">
        <f t="shared" si="42"/>
        <v>45992</v>
      </c>
      <c r="P408" s="27">
        <f t="shared" si="40"/>
        <v>18</v>
      </c>
      <c r="Q408" s="27">
        <f t="shared" si="41"/>
        <v>1</v>
      </c>
      <c r="R408" s="28" t="s">
        <v>22</v>
      </c>
      <c r="S408" s="21">
        <v>0</v>
      </c>
      <c r="T408" s="18" t="s">
        <v>23</v>
      </c>
      <c r="U408" s="14" t="s">
        <v>1811</v>
      </c>
    </row>
    <row r="409" spans="1:21" x14ac:dyDescent="0.2">
      <c r="A409" s="17">
        <v>407</v>
      </c>
      <c r="B409" s="18" t="s">
        <v>1812</v>
      </c>
      <c r="C409" s="19" t="s">
        <v>1813</v>
      </c>
      <c r="D409" s="20" t="s">
        <v>1814</v>
      </c>
      <c r="E409" s="21" t="s">
        <v>1815</v>
      </c>
      <c r="F409" s="20" t="s">
        <v>21</v>
      </c>
      <c r="G409" s="20" t="s">
        <v>21</v>
      </c>
      <c r="H409" s="22" t="s">
        <v>1382</v>
      </c>
      <c r="I409" s="23" t="s">
        <v>98</v>
      </c>
      <c r="J409" s="24" t="s">
        <v>310</v>
      </c>
      <c r="K409" s="25">
        <f t="shared" si="37"/>
        <v>45644</v>
      </c>
      <c r="L409" s="26" t="str">
        <f t="shared" si="38"/>
        <v>Dec 24</v>
      </c>
      <c r="M409" s="26" t="str">
        <f t="shared" si="39"/>
        <v>2024</v>
      </c>
      <c r="N409" s="23" t="s">
        <v>140</v>
      </c>
      <c r="O409" s="25">
        <f t="shared" si="42"/>
        <v>45658</v>
      </c>
      <c r="P409" s="27">
        <f t="shared" si="40"/>
        <v>0</v>
      </c>
      <c r="Q409" s="27">
        <f t="shared" si="41"/>
        <v>1</v>
      </c>
      <c r="R409" s="28" t="s">
        <v>22</v>
      </c>
      <c r="S409" s="21">
        <v>12507.23</v>
      </c>
      <c r="T409" s="18" t="s">
        <v>23</v>
      </c>
      <c r="U409" s="14"/>
    </row>
    <row r="410" spans="1:21" x14ac:dyDescent="0.2">
      <c r="A410" s="17">
        <v>408</v>
      </c>
      <c r="B410" s="18" t="s">
        <v>1816</v>
      </c>
      <c r="C410" s="19" t="s">
        <v>1817</v>
      </c>
      <c r="D410" s="20" t="s">
        <v>1818</v>
      </c>
      <c r="E410" s="21" t="s">
        <v>1819</v>
      </c>
      <c r="F410" s="20" t="s">
        <v>1820</v>
      </c>
      <c r="G410" s="20" t="s">
        <v>21</v>
      </c>
      <c r="H410" s="22" t="s">
        <v>186</v>
      </c>
      <c r="I410" s="23" t="s">
        <v>34</v>
      </c>
      <c r="J410" s="24" t="s">
        <v>383</v>
      </c>
      <c r="K410" s="25">
        <f t="shared" si="37"/>
        <v>45699</v>
      </c>
      <c r="L410" s="26" t="str">
        <f t="shared" si="38"/>
        <v>Feb 25</v>
      </c>
      <c r="M410" s="26" t="str">
        <f t="shared" si="39"/>
        <v>2025</v>
      </c>
      <c r="N410" s="23" t="s">
        <v>1821</v>
      </c>
      <c r="O410" s="25">
        <f t="shared" si="42"/>
        <v>44605</v>
      </c>
      <c r="P410" s="27" t="e">
        <f t="shared" si="40"/>
        <v>#NUM!</v>
      </c>
      <c r="Q410" s="27">
        <f t="shared" si="41"/>
        <v>-3</v>
      </c>
      <c r="R410" s="28" t="s">
        <v>22</v>
      </c>
      <c r="S410" s="21">
        <v>26348.53</v>
      </c>
      <c r="T410" s="18" t="s">
        <v>23</v>
      </c>
      <c r="U410" s="14"/>
    </row>
    <row r="411" spans="1:21" x14ac:dyDescent="0.2">
      <c r="A411" s="17">
        <v>409</v>
      </c>
      <c r="B411" s="18" t="s">
        <v>1822</v>
      </c>
      <c r="C411" s="19" t="s">
        <v>1823</v>
      </c>
      <c r="D411" s="20" t="s">
        <v>1824</v>
      </c>
      <c r="E411" s="21" t="s">
        <v>1825</v>
      </c>
      <c r="F411" s="20" t="s">
        <v>21</v>
      </c>
      <c r="G411" s="20" t="s">
        <v>21</v>
      </c>
      <c r="H411" s="22" t="s">
        <v>1826</v>
      </c>
      <c r="I411" s="23" t="s">
        <v>141</v>
      </c>
      <c r="J411" s="24" t="s">
        <v>1827</v>
      </c>
      <c r="K411" s="25">
        <f t="shared" si="37"/>
        <v>46016</v>
      </c>
      <c r="L411" s="26" t="str">
        <f t="shared" si="38"/>
        <v>Dec 25</v>
      </c>
      <c r="M411" s="26" t="str">
        <f t="shared" si="39"/>
        <v>2025</v>
      </c>
      <c r="N411" s="23" t="s">
        <v>1406</v>
      </c>
      <c r="O411" s="25">
        <f t="shared" si="42"/>
        <v>45709</v>
      </c>
      <c r="P411" s="27" t="e">
        <f t="shared" si="40"/>
        <v>#NUM!</v>
      </c>
      <c r="Q411" s="27">
        <f t="shared" si="41"/>
        <v>0</v>
      </c>
      <c r="R411" s="28" t="s">
        <v>22</v>
      </c>
      <c r="S411" s="21">
        <v>105750</v>
      </c>
      <c r="T411" s="18" t="s">
        <v>23</v>
      </c>
      <c r="U411" s="14"/>
    </row>
    <row r="412" spans="1:21" x14ac:dyDescent="0.2">
      <c r="A412" s="17">
        <v>410</v>
      </c>
      <c r="B412" s="18" t="s">
        <v>1828</v>
      </c>
      <c r="C412" s="19" t="s">
        <v>1829</v>
      </c>
      <c r="D412" s="20" t="s">
        <v>1830</v>
      </c>
      <c r="E412" s="21" t="s">
        <v>1831</v>
      </c>
      <c r="F412" s="20" t="s">
        <v>21</v>
      </c>
      <c r="G412" s="20" t="s">
        <v>21</v>
      </c>
      <c r="H412" s="22" t="s">
        <v>140</v>
      </c>
      <c r="I412" s="23" t="s">
        <v>141</v>
      </c>
      <c r="J412" s="24" t="s">
        <v>228</v>
      </c>
      <c r="K412" s="25">
        <f t="shared" si="37"/>
        <v>45696</v>
      </c>
      <c r="L412" s="26" t="str">
        <f t="shared" si="38"/>
        <v>Feb 25</v>
      </c>
      <c r="M412" s="26" t="str">
        <f t="shared" si="39"/>
        <v>2025</v>
      </c>
      <c r="N412" s="23" t="s">
        <v>283</v>
      </c>
      <c r="O412" s="25">
        <f t="shared" si="42"/>
        <v>45712</v>
      </c>
      <c r="P412" s="27">
        <f t="shared" si="40"/>
        <v>0</v>
      </c>
      <c r="Q412" s="27">
        <f t="shared" si="41"/>
        <v>0</v>
      </c>
      <c r="R412" s="28" t="s">
        <v>894</v>
      </c>
      <c r="S412" s="21">
        <v>4426</v>
      </c>
      <c r="T412" s="18" t="s">
        <v>23</v>
      </c>
      <c r="U412" s="14"/>
    </row>
    <row r="413" spans="1:21" x14ac:dyDescent="0.2">
      <c r="A413" s="17">
        <v>411</v>
      </c>
      <c r="B413" s="18" t="s">
        <v>1832</v>
      </c>
      <c r="C413" s="19" t="s">
        <v>1833</v>
      </c>
      <c r="D413" s="20" t="s">
        <v>1834</v>
      </c>
      <c r="E413" s="21" t="s">
        <v>1835</v>
      </c>
      <c r="F413" s="20" t="s">
        <v>1836</v>
      </c>
      <c r="G413" s="20" t="s">
        <v>1837</v>
      </c>
      <c r="H413" s="22" t="s">
        <v>1838</v>
      </c>
      <c r="I413" s="23" t="s">
        <v>303</v>
      </c>
      <c r="J413" s="24" t="s">
        <v>1839</v>
      </c>
      <c r="K413" s="25">
        <f t="shared" si="37"/>
        <v>45628</v>
      </c>
      <c r="L413" s="26" t="str">
        <f t="shared" si="38"/>
        <v>Dec 24</v>
      </c>
      <c r="M413" s="26" t="str">
        <f t="shared" si="39"/>
        <v>2024</v>
      </c>
      <c r="N413" s="23" t="s">
        <v>320</v>
      </c>
      <c r="O413" s="25">
        <f t="shared" si="42"/>
        <v>45639</v>
      </c>
      <c r="P413" s="27">
        <f t="shared" si="40"/>
        <v>0</v>
      </c>
      <c r="Q413" s="27">
        <f t="shared" si="41"/>
        <v>0</v>
      </c>
      <c r="R413" s="28" t="s">
        <v>22</v>
      </c>
      <c r="S413" s="21">
        <v>201614</v>
      </c>
      <c r="T413" s="18" t="s">
        <v>23</v>
      </c>
      <c r="U413" s="14"/>
    </row>
    <row r="414" spans="1:21" x14ac:dyDescent="0.2">
      <c r="A414" s="17">
        <v>412</v>
      </c>
      <c r="B414" s="18" t="s">
        <v>1840</v>
      </c>
      <c r="C414" s="19"/>
      <c r="D414" s="20" t="s">
        <v>1841</v>
      </c>
      <c r="E414" s="21" t="s">
        <v>1842</v>
      </c>
      <c r="F414" s="20" t="s">
        <v>21</v>
      </c>
      <c r="G414" s="20" t="s">
        <v>21</v>
      </c>
      <c r="H414" s="22">
        <v>1.012025</v>
      </c>
      <c r="I414" s="23" t="s">
        <v>141</v>
      </c>
      <c r="J414" s="24" t="s">
        <v>595</v>
      </c>
      <c r="K414" s="25">
        <f t="shared" si="37"/>
        <v>45690</v>
      </c>
      <c r="L414" s="26" t="str">
        <f t="shared" si="38"/>
        <v>Feb 25</v>
      </c>
      <c r="M414" s="26" t="str">
        <f t="shared" si="39"/>
        <v>2025</v>
      </c>
      <c r="N414" s="23" t="s">
        <v>335</v>
      </c>
      <c r="O414" s="25">
        <f t="shared" si="42"/>
        <v>45708</v>
      </c>
      <c r="P414" s="27">
        <f t="shared" si="40"/>
        <v>0</v>
      </c>
      <c r="Q414" s="27">
        <f t="shared" si="41"/>
        <v>0</v>
      </c>
      <c r="R414" s="28" t="s">
        <v>22</v>
      </c>
      <c r="S414" s="21">
        <v>7580</v>
      </c>
      <c r="T414" s="18" t="s">
        <v>23</v>
      </c>
      <c r="U414" s="14"/>
    </row>
    <row r="415" spans="1:21" x14ac:dyDescent="0.2">
      <c r="A415" s="17">
        <v>413</v>
      </c>
      <c r="B415" s="18" t="s">
        <v>1843</v>
      </c>
      <c r="C415" s="19" t="s">
        <v>1844</v>
      </c>
      <c r="D415" s="20" t="s">
        <v>1845</v>
      </c>
      <c r="E415" s="21" t="s">
        <v>1846</v>
      </c>
      <c r="F415" s="20" t="s">
        <v>21</v>
      </c>
      <c r="G415" s="20" t="s">
        <v>21</v>
      </c>
      <c r="H415" s="22" t="s">
        <v>235</v>
      </c>
      <c r="I415" s="23" t="s">
        <v>303</v>
      </c>
      <c r="J415" s="24" t="s">
        <v>305</v>
      </c>
      <c r="K415" s="25">
        <f t="shared" si="37"/>
        <v>45692</v>
      </c>
      <c r="L415" s="26" t="str">
        <f t="shared" si="38"/>
        <v>Feb 25</v>
      </c>
      <c r="M415" s="26" t="str">
        <f t="shared" si="39"/>
        <v>2025</v>
      </c>
      <c r="N415" s="23" t="s">
        <v>436</v>
      </c>
      <c r="O415" s="25">
        <f t="shared" si="42"/>
        <v>45726</v>
      </c>
      <c r="P415" s="27">
        <f t="shared" si="40"/>
        <v>1</v>
      </c>
      <c r="Q415" s="27">
        <f t="shared" si="41"/>
        <v>0</v>
      </c>
      <c r="R415" s="28" t="s">
        <v>22</v>
      </c>
      <c r="S415" s="21"/>
      <c r="T415" s="18" t="s">
        <v>23</v>
      </c>
      <c r="U415" s="14"/>
    </row>
    <row r="416" spans="1:21" x14ac:dyDescent="0.2">
      <c r="A416" s="17">
        <v>414</v>
      </c>
      <c r="B416" s="18" t="s">
        <v>137</v>
      </c>
      <c r="C416" s="19" t="s">
        <v>1847</v>
      </c>
      <c r="D416" s="20" t="s">
        <v>1848</v>
      </c>
      <c r="E416" s="21" t="s">
        <v>1849</v>
      </c>
      <c r="F416" s="20" t="s">
        <v>21</v>
      </c>
      <c r="G416" s="20" t="s">
        <v>21</v>
      </c>
      <c r="H416" s="22" t="s">
        <v>140</v>
      </c>
      <c r="I416" s="23" t="s">
        <v>141</v>
      </c>
      <c r="J416" s="24" t="s">
        <v>1850</v>
      </c>
      <c r="K416" s="25">
        <f t="shared" si="37"/>
        <v>45728</v>
      </c>
      <c r="L416" s="26" t="str">
        <f t="shared" si="38"/>
        <v>Mar 25</v>
      </c>
      <c r="M416" s="26" t="str">
        <f t="shared" si="39"/>
        <v>2025</v>
      </c>
      <c r="N416" s="23" t="s">
        <v>1850</v>
      </c>
      <c r="O416" s="25">
        <f t="shared" si="42"/>
        <v>45728</v>
      </c>
      <c r="P416" s="27">
        <f t="shared" si="40"/>
        <v>0</v>
      </c>
      <c r="Q416" s="27">
        <f t="shared" si="41"/>
        <v>0</v>
      </c>
      <c r="R416" s="28" t="s">
        <v>22</v>
      </c>
      <c r="S416" s="21">
        <v>9280</v>
      </c>
      <c r="T416" s="18" t="s">
        <v>23</v>
      </c>
      <c r="U416" s="14"/>
    </row>
    <row r="417" spans="1:21" x14ac:dyDescent="0.2">
      <c r="A417" s="17">
        <v>415</v>
      </c>
      <c r="B417" s="18" t="s">
        <v>1851</v>
      </c>
      <c r="C417" s="19" t="s">
        <v>1852</v>
      </c>
      <c r="D417" s="20" t="s">
        <v>1853</v>
      </c>
      <c r="E417" s="21" t="s">
        <v>1854</v>
      </c>
      <c r="F417" s="20" t="s">
        <v>1855</v>
      </c>
      <c r="G417" s="20" t="s">
        <v>21</v>
      </c>
      <c r="H417" s="22" t="s">
        <v>140</v>
      </c>
      <c r="I417" s="23" t="s">
        <v>141</v>
      </c>
      <c r="J417" s="24" t="s">
        <v>495</v>
      </c>
      <c r="K417" s="25">
        <f t="shared" si="37"/>
        <v>45737</v>
      </c>
      <c r="L417" s="26" t="str">
        <f t="shared" si="38"/>
        <v>Mar 25</v>
      </c>
      <c r="M417" s="26" t="str">
        <f t="shared" si="39"/>
        <v>2025</v>
      </c>
      <c r="N417" s="23" t="s">
        <v>703</v>
      </c>
      <c r="O417" s="25">
        <f t="shared" si="42"/>
        <v>45745</v>
      </c>
      <c r="P417" s="27">
        <f t="shared" si="40"/>
        <v>0</v>
      </c>
      <c r="Q417" s="27">
        <f t="shared" si="41"/>
        <v>0</v>
      </c>
      <c r="R417" s="28" t="s">
        <v>22</v>
      </c>
      <c r="S417" s="21">
        <v>44745.1</v>
      </c>
      <c r="T417" s="18" t="s">
        <v>23</v>
      </c>
      <c r="U417" s="14"/>
    </row>
    <row r="418" spans="1:21" x14ac:dyDescent="0.2">
      <c r="A418" s="17">
        <v>416</v>
      </c>
      <c r="B418" s="18" t="s">
        <v>1795</v>
      </c>
      <c r="C418" s="19" t="s">
        <v>1856</v>
      </c>
      <c r="D418" s="20" t="s">
        <v>1857</v>
      </c>
      <c r="E418" s="21" t="s">
        <v>1798</v>
      </c>
      <c r="F418" s="20" t="s">
        <v>1858</v>
      </c>
      <c r="G418" s="20"/>
      <c r="H418" s="22" t="s">
        <v>1010</v>
      </c>
      <c r="I418" s="23" t="s">
        <v>1011</v>
      </c>
      <c r="J418" s="24" t="s">
        <v>507</v>
      </c>
      <c r="K418" s="25">
        <f t="shared" si="37"/>
        <v>45741</v>
      </c>
      <c r="L418" s="26" t="str">
        <f t="shared" si="38"/>
        <v>Mar 25</v>
      </c>
      <c r="M418" s="26" t="str">
        <f t="shared" si="39"/>
        <v>2025</v>
      </c>
      <c r="N418" s="23" t="s">
        <v>507</v>
      </c>
      <c r="O418" s="25">
        <f t="shared" si="42"/>
        <v>45741</v>
      </c>
      <c r="P418" s="27">
        <f t="shared" si="40"/>
        <v>0</v>
      </c>
      <c r="Q418" s="27">
        <f t="shared" si="41"/>
        <v>0</v>
      </c>
      <c r="R418" s="28" t="s">
        <v>22</v>
      </c>
      <c r="S418" s="21">
        <v>27000</v>
      </c>
      <c r="T418" s="18" t="s">
        <v>23</v>
      </c>
      <c r="U418" s="14"/>
    </row>
    <row r="419" spans="1:21" x14ac:dyDescent="0.2">
      <c r="A419" s="17">
        <v>417</v>
      </c>
      <c r="B419" s="18" t="s">
        <v>1177</v>
      </c>
      <c r="C419" s="19" t="s">
        <v>1859</v>
      </c>
      <c r="D419" s="20" t="s">
        <v>1860</v>
      </c>
      <c r="E419" s="21" t="s">
        <v>1861</v>
      </c>
      <c r="F419" s="20" t="s">
        <v>1862</v>
      </c>
      <c r="G419" s="20" t="s">
        <v>21</v>
      </c>
      <c r="H419" s="22" t="s">
        <v>140</v>
      </c>
      <c r="I419" s="23" t="s">
        <v>141</v>
      </c>
      <c r="J419" s="24" t="s">
        <v>303</v>
      </c>
      <c r="K419" s="25">
        <f t="shared" si="37"/>
        <v>45747</v>
      </c>
      <c r="L419" s="26" t="str">
        <f t="shared" si="38"/>
        <v>Mar 25</v>
      </c>
      <c r="M419" s="26" t="str">
        <f t="shared" si="39"/>
        <v>2025</v>
      </c>
      <c r="N419" s="23" t="s">
        <v>1863</v>
      </c>
      <c r="O419" s="25">
        <f t="shared" si="42"/>
        <v>45759</v>
      </c>
      <c r="P419" s="27">
        <f t="shared" si="40"/>
        <v>0</v>
      </c>
      <c r="Q419" s="27">
        <f t="shared" si="41"/>
        <v>0</v>
      </c>
      <c r="R419" s="28" t="s">
        <v>22</v>
      </c>
      <c r="S419" s="21">
        <v>59940</v>
      </c>
      <c r="T419" s="18" t="s">
        <v>23</v>
      </c>
      <c r="U419" s="14"/>
    </row>
    <row r="420" spans="1:21" x14ac:dyDescent="0.2">
      <c r="A420" s="17">
        <v>418</v>
      </c>
      <c r="B420" s="18" t="s">
        <v>1864</v>
      </c>
      <c r="C420" s="19" t="s">
        <v>1865</v>
      </c>
      <c r="D420" s="20" t="s">
        <v>1866</v>
      </c>
      <c r="E420" s="21" t="s">
        <v>1867</v>
      </c>
      <c r="F420" s="20" t="s">
        <v>21</v>
      </c>
      <c r="G420" s="20" t="s">
        <v>21</v>
      </c>
      <c r="H420" s="22" t="s">
        <v>186</v>
      </c>
      <c r="I420" s="23" t="s">
        <v>34</v>
      </c>
      <c r="J420" s="24" t="s">
        <v>703</v>
      </c>
      <c r="K420" s="25">
        <f t="shared" si="37"/>
        <v>45745</v>
      </c>
      <c r="L420" s="26" t="str">
        <f t="shared" si="38"/>
        <v>Mar 25</v>
      </c>
      <c r="M420" s="26" t="str">
        <f t="shared" si="39"/>
        <v>2025</v>
      </c>
      <c r="N420" s="23" t="s">
        <v>703</v>
      </c>
      <c r="O420" s="25">
        <f t="shared" si="42"/>
        <v>45745</v>
      </c>
      <c r="P420" s="27">
        <f t="shared" si="40"/>
        <v>0</v>
      </c>
      <c r="Q420" s="27">
        <f t="shared" si="41"/>
        <v>0</v>
      </c>
      <c r="R420" s="28" t="s">
        <v>22</v>
      </c>
      <c r="S420" s="21">
        <v>115382</v>
      </c>
      <c r="T420" s="18" t="s">
        <v>23</v>
      </c>
      <c r="U420" s="14"/>
    </row>
    <row r="421" spans="1:21" x14ac:dyDescent="0.2">
      <c r="A421" s="17">
        <v>419</v>
      </c>
      <c r="B421" s="18" t="s">
        <v>1567</v>
      </c>
      <c r="C421" s="19" t="s">
        <v>1868</v>
      </c>
      <c r="D421" s="20" t="s">
        <v>1869</v>
      </c>
      <c r="E421" s="21" t="s">
        <v>1870</v>
      </c>
      <c r="F421" s="20" t="s">
        <v>21</v>
      </c>
      <c r="G421" s="20" t="s">
        <v>21</v>
      </c>
      <c r="H421" s="22" t="s">
        <v>1871</v>
      </c>
      <c r="I421" s="23" t="s">
        <v>1872</v>
      </c>
      <c r="J421" s="24" t="s">
        <v>645</v>
      </c>
      <c r="K421" s="25">
        <f t="shared" si="37"/>
        <v>45768</v>
      </c>
      <c r="L421" s="26" t="str">
        <f t="shared" si="38"/>
        <v>Apr 25</v>
      </c>
      <c r="M421" s="26" t="str">
        <f t="shared" si="39"/>
        <v>2025</v>
      </c>
      <c r="N421" s="23" t="s">
        <v>713</v>
      </c>
      <c r="O421" s="25">
        <f t="shared" si="42"/>
        <v>45779</v>
      </c>
      <c r="P421" s="27">
        <f t="shared" si="40"/>
        <v>0</v>
      </c>
      <c r="Q421" s="27">
        <f t="shared" si="41"/>
        <v>0</v>
      </c>
      <c r="R421" s="28" t="s">
        <v>22</v>
      </c>
      <c r="S421" s="21" t="s">
        <v>1873</v>
      </c>
      <c r="T421" s="18" t="s">
        <v>23</v>
      </c>
      <c r="U421" s="14"/>
    </row>
    <row r="422" spans="1:21" x14ac:dyDescent="0.2">
      <c r="A422" s="17">
        <v>420</v>
      </c>
      <c r="B422" s="18" t="s">
        <v>1874</v>
      </c>
      <c r="C422" s="19" t="s">
        <v>1875</v>
      </c>
      <c r="D422" s="20" t="s">
        <v>1876</v>
      </c>
      <c r="E422" s="21" t="s">
        <v>1877</v>
      </c>
      <c r="F422" s="20" t="s">
        <v>269</v>
      </c>
      <c r="G422" s="20" t="s">
        <v>21</v>
      </c>
      <c r="H422" s="22" t="s">
        <v>140</v>
      </c>
      <c r="I422" s="23" t="s">
        <v>141</v>
      </c>
      <c r="J422" s="24" t="s">
        <v>870</v>
      </c>
      <c r="K422" s="25">
        <f t="shared" si="37"/>
        <v>45763</v>
      </c>
      <c r="L422" s="26" t="str">
        <f t="shared" si="38"/>
        <v>Apr 25</v>
      </c>
      <c r="M422" s="26" t="str">
        <f t="shared" si="39"/>
        <v>2025</v>
      </c>
      <c r="N422" s="23" t="s">
        <v>1878</v>
      </c>
      <c r="O422" s="25">
        <f t="shared" si="42"/>
        <v>45810</v>
      </c>
      <c r="P422" s="27">
        <f t="shared" si="40"/>
        <v>1</v>
      </c>
      <c r="Q422" s="27">
        <f t="shared" si="41"/>
        <v>0</v>
      </c>
      <c r="R422" s="28" t="s">
        <v>22</v>
      </c>
      <c r="S422" s="21">
        <v>106801.2</v>
      </c>
      <c r="T422" s="18" t="s">
        <v>23</v>
      </c>
      <c r="U422" s="14"/>
    </row>
    <row r="423" spans="1:21" x14ac:dyDescent="0.2">
      <c r="A423" s="17">
        <v>421</v>
      </c>
      <c r="B423" s="18" t="s">
        <v>1879</v>
      </c>
      <c r="C423" s="19" t="s">
        <v>1880</v>
      </c>
      <c r="D423" s="20" t="s">
        <v>1881</v>
      </c>
      <c r="E423" s="21" t="s">
        <v>795</v>
      </c>
      <c r="F423" s="20" t="s">
        <v>1882</v>
      </c>
      <c r="G423" s="20" t="s">
        <v>21</v>
      </c>
      <c r="H423" s="22" t="s">
        <v>140</v>
      </c>
      <c r="I423" s="23" t="s">
        <v>141</v>
      </c>
      <c r="J423" s="24" t="s">
        <v>1878</v>
      </c>
      <c r="K423" s="25">
        <f t="shared" si="37"/>
        <v>45810</v>
      </c>
      <c r="L423" s="26" t="str">
        <f t="shared" si="38"/>
        <v>Jun 25</v>
      </c>
      <c r="M423" s="26" t="str">
        <f t="shared" si="39"/>
        <v>2025</v>
      </c>
      <c r="N423" s="23" t="s">
        <v>918</v>
      </c>
      <c r="O423" s="25">
        <f t="shared" si="42"/>
        <v>45824</v>
      </c>
      <c r="P423" s="27">
        <f t="shared" si="40"/>
        <v>0</v>
      </c>
      <c r="Q423" s="27">
        <f t="shared" si="41"/>
        <v>0</v>
      </c>
      <c r="R423" s="28" t="s">
        <v>22</v>
      </c>
      <c r="S423" s="21">
        <v>68381</v>
      </c>
      <c r="T423" s="18" t="s">
        <v>23</v>
      </c>
      <c r="U423" s="14"/>
    </row>
    <row r="424" spans="1:21" x14ac:dyDescent="0.2">
      <c r="A424" s="17">
        <v>422</v>
      </c>
      <c r="B424" s="18" t="s">
        <v>1883</v>
      </c>
      <c r="C424" s="19" t="s">
        <v>1884</v>
      </c>
      <c r="D424" s="20" t="s">
        <v>1885</v>
      </c>
      <c r="E424" s="21" t="s">
        <v>1886</v>
      </c>
      <c r="F424" s="20" t="s">
        <v>21</v>
      </c>
      <c r="G424" s="20" t="s">
        <v>21</v>
      </c>
      <c r="H424" s="22" t="s">
        <v>464</v>
      </c>
      <c r="I424" s="23" t="s">
        <v>1197</v>
      </c>
      <c r="J424" s="24" t="s">
        <v>926</v>
      </c>
      <c r="K424" s="25">
        <f t="shared" si="37"/>
        <v>45828</v>
      </c>
      <c r="L424" s="26" t="str">
        <f t="shared" si="38"/>
        <v>Jun 25</v>
      </c>
      <c r="M424" s="26" t="str">
        <f t="shared" si="39"/>
        <v>2025</v>
      </c>
      <c r="N424" s="23" t="s">
        <v>1032</v>
      </c>
      <c r="O424" s="25">
        <f t="shared" si="42"/>
        <v>45852</v>
      </c>
      <c r="P424" s="27">
        <f t="shared" si="40"/>
        <v>0</v>
      </c>
      <c r="Q424" s="27">
        <f t="shared" si="41"/>
        <v>0</v>
      </c>
      <c r="R424" s="28" t="s">
        <v>22</v>
      </c>
      <c r="S424" s="21">
        <v>5940</v>
      </c>
      <c r="T424" s="18" t="s">
        <v>23</v>
      </c>
      <c r="U424" s="14"/>
    </row>
    <row r="425" spans="1:21" x14ac:dyDescent="0.2">
      <c r="A425" s="17">
        <v>423</v>
      </c>
      <c r="B425" s="18" t="s">
        <v>1887</v>
      </c>
      <c r="C425" s="19" t="s">
        <v>1888</v>
      </c>
      <c r="D425" s="20" t="s">
        <v>1889</v>
      </c>
      <c r="E425" s="21" t="s">
        <v>1890</v>
      </c>
      <c r="F425" s="20" t="s">
        <v>1891</v>
      </c>
      <c r="G425" s="20" t="s">
        <v>21</v>
      </c>
      <c r="H425" s="22" t="s">
        <v>369</v>
      </c>
      <c r="I425" s="23" t="s">
        <v>620</v>
      </c>
      <c r="J425" s="24" t="s">
        <v>865</v>
      </c>
      <c r="K425" s="25">
        <f t="shared" si="37"/>
        <v>45843</v>
      </c>
      <c r="L425" s="26" t="str">
        <f t="shared" si="38"/>
        <v>Jul 25</v>
      </c>
      <c r="M425" s="26" t="str">
        <f t="shared" si="39"/>
        <v>2025</v>
      </c>
      <c r="N425" s="23" t="s">
        <v>1032</v>
      </c>
      <c r="O425" s="25">
        <f t="shared" si="42"/>
        <v>45852</v>
      </c>
      <c r="P425" s="27">
        <f t="shared" si="40"/>
        <v>0</v>
      </c>
      <c r="Q425" s="27">
        <f t="shared" si="41"/>
        <v>0</v>
      </c>
      <c r="R425" s="28" t="s">
        <v>22</v>
      </c>
      <c r="S425" s="21">
        <v>27000</v>
      </c>
      <c r="T425" s="18" t="s">
        <v>23</v>
      </c>
      <c r="U425" s="14"/>
    </row>
    <row r="426" spans="1:21" x14ac:dyDescent="0.2">
      <c r="A426" s="17">
        <v>424</v>
      </c>
      <c r="B426" s="18" t="s">
        <v>1892</v>
      </c>
      <c r="C426" s="19" t="s">
        <v>1893</v>
      </c>
      <c r="D426" s="20" t="s">
        <v>1894</v>
      </c>
      <c r="E426" s="21" t="s">
        <v>1895</v>
      </c>
      <c r="F426" s="20" t="s">
        <v>21</v>
      </c>
      <c r="G426" s="20" t="s">
        <v>21</v>
      </c>
      <c r="H426" s="22" t="s">
        <v>140</v>
      </c>
      <c r="I426" s="23" t="s">
        <v>141</v>
      </c>
      <c r="J426" s="24" t="s">
        <v>997</v>
      </c>
      <c r="K426" s="25">
        <f t="shared" si="37"/>
        <v>45836</v>
      </c>
      <c r="L426" s="26" t="str">
        <f t="shared" si="38"/>
        <v>Jun 25</v>
      </c>
      <c r="M426" s="26" t="str">
        <f t="shared" si="39"/>
        <v>2025</v>
      </c>
      <c r="N426" s="23" t="s">
        <v>1165</v>
      </c>
      <c r="O426" s="25">
        <f t="shared" si="42"/>
        <v>45865</v>
      </c>
      <c r="P426" s="27">
        <f t="shared" si="40"/>
        <v>0</v>
      </c>
      <c r="Q426" s="27">
        <f t="shared" si="41"/>
        <v>0</v>
      </c>
      <c r="R426" s="28" t="s">
        <v>22</v>
      </c>
      <c r="S426" s="21"/>
      <c r="T426" s="18" t="s">
        <v>23</v>
      </c>
      <c r="U426" s="14"/>
    </row>
    <row r="427" spans="1:21" x14ac:dyDescent="0.2">
      <c r="A427" s="17">
        <v>425</v>
      </c>
      <c r="B427" s="18" t="s">
        <v>1896</v>
      </c>
      <c r="C427" s="19" t="s">
        <v>1897</v>
      </c>
      <c r="D427" s="20" t="s">
        <v>1898</v>
      </c>
      <c r="E427" s="21" t="s">
        <v>1899</v>
      </c>
      <c r="F427" s="20" t="s">
        <v>21</v>
      </c>
      <c r="G427" s="20" t="s">
        <v>21</v>
      </c>
      <c r="H427" s="22" t="s">
        <v>140</v>
      </c>
      <c r="I427" s="23" t="s">
        <v>141</v>
      </c>
      <c r="J427" s="24" t="s">
        <v>1001</v>
      </c>
      <c r="K427" s="25">
        <f t="shared" si="37"/>
        <v>45837</v>
      </c>
      <c r="L427" s="26" t="str">
        <f t="shared" si="38"/>
        <v>Jun 25</v>
      </c>
      <c r="M427" s="26" t="str">
        <f t="shared" si="39"/>
        <v>2025</v>
      </c>
      <c r="N427" s="23" t="s">
        <v>1239</v>
      </c>
      <c r="O427" s="25">
        <f t="shared" si="42"/>
        <v>45875</v>
      </c>
      <c r="P427" s="27">
        <f t="shared" si="40"/>
        <v>1</v>
      </c>
      <c r="Q427" s="27">
        <f t="shared" si="41"/>
        <v>0</v>
      </c>
      <c r="R427" s="28" t="s">
        <v>22</v>
      </c>
      <c r="S427" s="21">
        <v>52408.800000000003</v>
      </c>
      <c r="T427" s="18" t="s">
        <v>23</v>
      </c>
      <c r="U427" s="14"/>
    </row>
    <row r="428" spans="1:21" x14ac:dyDescent="0.2">
      <c r="A428" s="17">
        <v>426</v>
      </c>
      <c r="B428" s="18" t="s">
        <v>1900</v>
      </c>
      <c r="C428" s="19" t="s">
        <v>1901</v>
      </c>
      <c r="D428" s="20" t="s">
        <v>1902</v>
      </c>
      <c r="E428" s="21" t="s">
        <v>1890</v>
      </c>
      <c r="F428" s="20" t="s">
        <v>21</v>
      </c>
      <c r="G428" s="20" t="s">
        <v>21</v>
      </c>
      <c r="H428" s="22" t="s">
        <v>1903</v>
      </c>
      <c r="I428" s="23" t="s">
        <v>1904</v>
      </c>
      <c r="J428" s="24" t="s">
        <v>1001</v>
      </c>
      <c r="K428" s="25">
        <f t="shared" si="37"/>
        <v>45837</v>
      </c>
      <c r="L428" s="26" t="str">
        <f t="shared" si="38"/>
        <v>Jun 25</v>
      </c>
      <c r="M428" s="26" t="str">
        <f t="shared" si="39"/>
        <v>2025</v>
      </c>
      <c r="N428" s="23" t="s">
        <v>1155</v>
      </c>
      <c r="O428" s="25">
        <f t="shared" si="42"/>
        <v>45887</v>
      </c>
      <c r="P428" s="27">
        <f t="shared" si="40"/>
        <v>1</v>
      </c>
      <c r="Q428" s="27">
        <f t="shared" si="41"/>
        <v>0</v>
      </c>
      <c r="R428" s="28" t="s">
        <v>22</v>
      </c>
      <c r="S428" s="21">
        <v>156000</v>
      </c>
      <c r="T428" s="18" t="s">
        <v>23</v>
      </c>
      <c r="U428" s="14"/>
    </row>
    <row r="429" spans="1:21" x14ac:dyDescent="0.2">
      <c r="A429" s="17">
        <v>427</v>
      </c>
      <c r="B429" s="18" t="s">
        <v>1905</v>
      </c>
      <c r="C429" s="19" t="s">
        <v>1906</v>
      </c>
      <c r="D429" s="20" t="s">
        <v>1907</v>
      </c>
      <c r="E429" s="21" t="s">
        <v>1788</v>
      </c>
      <c r="F429" s="20" t="s">
        <v>21</v>
      </c>
      <c r="G429" s="20" t="s">
        <v>21</v>
      </c>
      <c r="H429" s="22" t="s">
        <v>110</v>
      </c>
      <c r="I429" s="23" t="s">
        <v>111</v>
      </c>
      <c r="J429" s="24" t="s">
        <v>773</v>
      </c>
      <c r="K429" s="25">
        <f t="shared" si="37"/>
        <v>45774</v>
      </c>
      <c r="L429" s="26" t="str">
        <f t="shared" si="38"/>
        <v>Apr 25</v>
      </c>
      <c r="M429" s="26" t="str">
        <f t="shared" si="39"/>
        <v>2025</v>
      </c>
      <c r="N429" s="23" t="s">
        <v>931</v>
      </c>
      <c r="O429" s="25">
        <f t="shared" si="42"/>
        <v>45853</v>
      </c>
      <c r="P429" s="27">
        <f t="shared" si="40"/>
        <v>2</v>
      </c>
      <c r="Q429" s="27">
        <f t="shared" si="41"/>
        <v>0</v>
      </c>
      <c r="R429" s="28" t="s">
        <v>22</v>
      </c>
      <c r="S429" s="21">
        <v>5886</v>
      </c>
      <c r="T429" s="18" t="s">
        <v>23</v>
      </c>
      <c r="U429" s="14"/>
    </row>
    <row r="430" spans="1:21" x14ac:dyDescent="0.2">
      <c r="A430" s="17">
        <v>428</v>
      </c>
      <c r="B430" s="18" t="s">
        <v>1908</v>
      </c>
      <c r="C430" s="19" t="s">
        <v>1909</v>
      </c>
      <c r="D430" s="20" t="s">
        <v>1910</v>
      </c>
      <c r="E430" s="21" t="s">
        <v>1831</v>
      </c>
      <c r="F430" s="20" t="s">
        <v>21</v>
      </c>
      <c r="G430" s="20" t="s">
        <v>21</v>
      </c>
      <c r="H430" s="22" t="s">
        <v>152</v>
      </c>
      <c r="I430" s="23" t="s">
        <v>141</v>
      </c>
      <c r="J430" s="24" t="s">
        <v>55</v>
      </c>
      <c r="K430" s="25">
        <f t="shared" si="37"/>
        <v>45895</v>
      </c>
      <c r="L430" s="26" t="str">
        <f t="shared" si="38"/>
        <v>Aug 25</v>
      </c>
      <c r="M430" s="26" t="str">
        <f t="shared" si="39"/>
        <v>2025</v>
      </c>
      <c r="N430" s="23" t="s">
        <v>1281</v>
      </c>
      <c r="O430" s="25">
        <f t="shared" si="42"/>
        <v>45902</v>
      </c>
      <c r="P430" s="27">
        <f t="shared" si="40"/>
        <v>0</v>
      </c>
      <c r="Q430" s="27">
        <f t="shared" si="41"/>
        <v>0</v>
      </c>
      <c r="R430" s="28" t="s">
        <v>22</v>
      </c>
      <c r="S430" s="21">
        <v>4410</v>
      </c>
      <c r="T430" s="18" t="s">
        <v>23</v>
      </c>
      <c r="U430" s="14"/>
    </row>
    <row r="431" spans="1:21" x14ac:dyDescent="0.2">
      <c r="A431" s="17">
        <v>429</v>
      </c>
      <c r="B431" s="18" t="s">
        <v>1911</v>
      </c>
      <c r="C431" s="19" t="s">
        <v>1912</v>
      </c>
      <c r="D431" s="20" t="s">
        <v>1913</v>
      </c>
      <c r="E431" s="21">
        <v>75000</v>
      </c>
      <c r="F431" s="20" t="s">
        <v>21</v>
      </c>
      <c r="G431" s="20" t="s">
        <v>1914</v>
      </c>
      <c r="H431" s="22" t="s">
        <v>1915</v>
      </c>
      <c r="I431" s="23" t="s">
        <v>550</v>
      </c>
      <c r="J431" s="24" t="s">
        <v>304</v>
      </c>
      <c r="K431" s="25">
        <f t="shared" si="37"/>
        <v>45685</v>
      </c>
      <c r="L431" s="26" t="str">
        <f t="shared" si="38"/>
        <v>Jan 25</v>
      </c>
      <c r="M431" s="26" t="str">
        <f t="shared" si="39"/>
        <v>2025</v>
      </c>
      <c r="N431" s="23" t="s">
        <v>1916</v>
      </c>
      <c r="O431" s="25">
        <f t="shared" si="42"/>
        <v>45907</v>
      </c>
      <c r="P431" s="27">
        <f t="shared" si="40"/>
        <v>7</v>
      </c>
      <c r="Q431" s="27">
        <f t="shared" si="41"/>
        <v>0</v>
      </c>
      <c r="R431" s="28" t="s">
        <v>22</v>
      </c>
      <c r="S431" s="21">
        <v>4500</v>
      </c>
      <c r="T431" s="18" t="s">
        <v>23</v>
      </c>
      <c r="U431" s="14"/>
    </row>
    <row r="432" spans="1:21" x14ac:dyDescent="0.2">
      <c r="A432" s="17">
        <v>430</v>
      </c>
      <c r="B432" s="18" t="s">
        <v>1917</v>
      </c>
      <c r="C432" s="19" t="s">
        <v>1918</v>
      </c>
      <c r="D432" s="20" t="s">
        <v>1919</v>
      </c>
      <c r="E432" s="21" t="s">
        <v>1877</v>
      </c>
      <c r="F432" s="20" t="s">
        <v>21</v>
      </c>
      <c r="G432" s="20" t="s">
        <v>21</v>
      </c>
      <c r="H432" s="22" t="s">
        <v>186</v>
      </c>
      <c r="I432" s="23" t="s">
        <v>34</v>
      </c>
      <c r="J432" s="24" t="s">
        <v>1155</v>
      </c>
      <c r="K432" s="25">
        <f t="shared" si="37"/>
        <v>45887</v>
      </c>
      <c r="L432" s="26" t="str">
        <f t="shared" si="38"/>
        <v>Aug 25</v>
      </c>
      <c r="M432" s="26" t="str">
        <f t="shared" si="39"/>
        <v>2025</v>
      </c>
      <c r="N432" s="23" t="s">
        <v>1290</v>
      </c>
      <c r="O432" s="25">
        <f t="shared" si="42"/>
        <v>45903</v>
      </c>
      <c r="P432" s="27">
        <f t="shared" si="40"/>
        <v>0</v>
      </c>
      <c r="Q432" s="27">
        <f t="shared" si="41"/>
        <v>0</v>
      </c>
      <c r="R432" s="28" t="s">
        <v>22</v>
      </c>
      <c r="S432" s="21">
        <v>10962</v>
      </c>
      <c r="T432" s="18" t="s">
        <v>23</v>
      </c>
      <c r="U432" s="14"/>
    </row>
    <row r="433" spans="1:21" x14ac:dyDescent="0.2">
      <c r="A433" s="17">
        <v>431</v>
      </c>
      <c r="B433" s="18" t="s">
        <v>792</v>
      </c>
      <c r="C433" s="19" t="s">
        <v>1920</v>
      </c>
      <c r="D433" s="20" t="s">
        <v>1921</v>
      </c>
      <c r="E433" s="21" t="s">
        <v>1922</v>
      </c>
      <c r="F433" s="20" t="s">
        <v>21</v>
      </c>
      <c r="G433" s="20" t="s">
        <v>21</v>
      </c>
      <c r="H433" s="22" t="s">
        <v>97</v>
      </c>
      <c r="I433" s="23" t="s">
        <v>141</v>
      </c>
      <c r="J433" s="24" t="s">
        <v>1184</v>
      </c>
      <c r="K433" s="25">
        <f t="shared" si="37"/>
        <v>45881</v>
      </c>
      <c r="L433" s="26" t="str">
        <f t="shared" si="38"/>
        <v>Aug 25</v>
      </c>
      <c r="M433" s="26" t="str">
        <f t="shared" si="39"/>
        <v>2025</v>
      </c>
      <c r="N433" s="23" t="s">
        <v>1923</v>
      </c>
      <c r="O433" s="25">
        <f t="shared" si="42"/>
        <v>45927</v>
      </c>
      <c r="P433" s="27">
        <f t="shared" si="40"/>
        <v>1</v>
      </c>
      <c r="Q433" s="27">
        <f t="shared" si="41"/>
        <v>0</v>
      </c>
      <c r="R433" s="28" t="s">
        <v>22</v>
      </c>
      <c r="S433" s="21">
        <v>25254</v>
      </c>
      <c r="T433" s="18" t="s">
        <v>23</v>
      </c>
      <c r="U433" s="14"/>
    </row>
    <row r="434" spans="1:21" x14ac:dyDescent="0.2">
      <c r="A434" s="17">
        <v>432</v>
      </c>
      <c r="B434" s="18" t="s">
        <v>1924</v>
      </c>
      <c r="C434" s="19" t="s">
        <v>1925</v>
      </c>
      <c r="D434" s="20" t="s">
        <v>1926</v>
      </c>
      <c r="E434" s="21" t="s">
        <v>1927</v>
      </c>
      <c r="F434" s="20" t="s">
        <v>21</v>
      </c>
      <c r="G434" s="20" t="s">
        <v>21</v>
      </c>
      <c r="H434" s="22">
        <v>45659</v>
      </c>
      <c r="I434" s="23">
        <v>46022</v>
      </c>
      <c r="J434" s="24">
        <v>45801</v>
      </c>
      <c r="K434" s="25">
        <f t="shared" si="37"/>
        <v>1424857</v>
      </c>
      <c r="L434" s="26" t="str">
        <f t="shared" si="38"/>
        <v>Feb 01</v>
      </c>
      <c r="M434" s="26" t="str">
        <f t="shared" si="39"/>
        <v>5801</v>
      </c>
      <c r="N434" s="23">
        <v>45933</v>
      </c>
      <c r="O434" s="25">
        <f t="shared" si="42"/>
        <v>1474042</v>
      </c>
      <c r="P434" s="27">
        <f t="shared" si="40"/>
        <v>1616</v>
      </c>
      <c r="Q434" s="27">
        <f t="shared" si="41"/>
        <v>134</v>
      </c>
      <c r="R434" s="28" t="s">
        <v>22</v>
      </c>
      <c r="S434" s="21">
        <v>89100</v>
      </c>
      <c r="T434" s="18" t="s">
        <v>23</v>
      </c>
      <c r="U434" s="14"/>
    </row>
    <row r="435" spans="1:21" x14ac:dyDescent="0.2">
      <c r="A435" s="17">
        <v>433</v>
      </c>
      <c r="B435" s="18" t="s">
        <v>792</v>
      </c>
      <c r="C435" s="19" t="s">
        <v>1928</v>
      </c>
      <c r="D435" s="20" t="s">
        <v>1929</v>
      </c>
      <c r="E435" s="21" t="s">
        <v>1930</v>
      </c>
      <c r="F435" s="20" t="s">
        <v>21</v>
      </c>
      <c r="G435" s="20" t="s">
        <v>21</v>
      </c>
      <c r="H435" s="22" t="s">
        <v>140</v>
      </c>
      <c r="I435" s="23" t="s">
        <v>141</v>
      </c>
      <c r="J435" s="24" t="s">
        <v>1202</v>
      </c>
      <c r="K435" s="25">
        <f t="shared" si="37"/>
        <v>45935</v>
      </c>
      <c r="L435" s="26" t="str">
        <f t="shared" si="38"/>
        <v>Oct 25</v>
      </c>
      <c r="M435" s="26" t="str">
        <f t="shared" si="39"/>
        <v>2025</v>
      </c>
      <c r="N435" s="23" t="s">
        <v>340</v>
      </c>
      <c r="O435" s="25">
        <f t="shared" si="42"/>
        <v>45950</v>
      </c>
      <c r="P435" s="27">
        <f t="shared" si="40"/>
        <v>0</v>
      </c>
      <c r="Q435" s="27">
        <f t="shared" si="41"/>
        <v>0</v>
      </c>
      <c r="R435" s="28" t="s">
        <v>22</v>
      </c>
      <c r="S435" s="21">
        <v>25254</v>
      </c>
      <c r="T435" s="18" t="s">
        <v>23</v>
      </c>
      <c r="U435" s="14"/>
    </row>
    <row r="436" spans="1:21" x14ac:dyDescent="0.2">
      <c r="A436" s="17">
        <v>434</v>
      </c>
      <c r="B436" s="18" t="s">
        <v>31</v>
      </c>
      <c r="C436" s="19" t="s">
        <v>1931</v>
      </c>
      <c r="D436" s="20" t="s">
        <v>1932</v>
      </c>
      <c r="E436" s="21" t="s">
        <v>1933</v>
      </c>
      <c r="F436" s="20" t="s">
        <v>21</v>
      </c>
      <c r="G436" s="20" t="s">
        <v>21</v>
      </c>
      <c r="H436" s="22" t="s">
        <v>27</v>
      </c>
      <c r="I436" s="23" t="s">
        <v>34</v>
      </c>
      <c r="J436" s="24" t="s">
        <v>1477</v>
      </c>
      <c r="K436" s="25">
        <f t="shared" si="37"/>
        <v>45943</v>
      </c>
      <c r="L436" s="26" t="str">
        <f t="shared" si="38"/>
        <v>Oct 25</v>
      </c>
      <c r="M436" s="26" t="str">
        <f t="shared" si="39"/>
        <v>2025</v>
      </c>
      <c r="N436" s="23" t="s">
        <v>606</v>
      </c>
      <c r="O436" s="25">
        <f t="shared" si="42"/>
        <v>45972</v>
      </c>
      <c r="P436" s="27">
        <f t="shared" si="40"/>
        <v>0</v>
      </c>
      <c r="Q436" s="27">
        <f t="shared" si="41"/>
        <v>0</v>
      </c>
      <c r="R436" s="28" t="s">
        <v>22</v>
      </c>
      <c r="S436" s="21">
        <v>7628.71</v>
      </c>
      <c r="T436" s="18" t="s">
        <v>23</v>
      </c>
      <c r="U436" s="14"/>
    </row>
    <row r="437" spans="1:21" x14ac:dyDescent="0.2">
      <c r="A437" s="17">
        <v>435</v>
      </c>
      <c r="B437" s="18" t="s">
        <v>1934</v>
      </c>
      <c r="C437" s="19" t="s">
        <v>1935</v>
      </c>
      <c r="D437" s="20" t="s">
        <v>1936</v>
      </c>
      <c r="E437" s="21" t="s">
        <v>1937</v>
      </c>
      <c r="F437" s="20" t="s">
        <v>21</v>
      </c>
      <c r="G437" s="20" t="s">
        <v>21</v>
      </c>
      <c r="H437" s="22" t="s">
        <v>27</v>
      </c>
      <c r="I437" s="23" t="s">
        <v>34</v>
      </c>
      <c r="J437" s="24" t="s">
        <v>1536</v>
      </c>
      <c r="K437" s="25">
        <f t="shared" si="37"/>
        <v>45934</v>
      </c>
      <c r="L437" s="26" t="str">
        <f t="shared" si="38"/>
        <v>Oct 25</v>
      </c>
      <c r="M437" s="26" t="str">
        <f t="shared" si="39"/>
        <v>2025</v>
      </c>
      <c r="N437" s="23" t="s">
        <v>887</v>
      </c>
      <c r="O437" s="25">
        <f t="shared" si="42"/>
        <v>45960</v>
      </c>
      <c r="P437" s="27">
        <f t="shared" si="40"/>
        <v>0</v>
      </c>
      <c r="Q437" s="27">
        <f t="shared" si="41"/>
        <v>0</v>
      </c>
      <c r="R437" s="28" t="s">
        <v>22</v>
      </c>
      <c r="S437" s="21">
        <v>87325.05</v>
      </c>
      <c r="T437" s="18" t="s">
        <v>23</v>
      </c>
      <c r="U437" s="14"/>
    </row>
    <row r="438" spans="1:21" x14ac:dyDescent="0.2">
      <c r="A438" s="17">
        <v>436</v>
      </c>
      <c r="B438" s="19" t="s">
        <v>1938</v>
      </c>
      <c r="C438" s="19" t="s">
        <v>1939</v>
      </c>
      <c r="D438" s="20" t="s">
        <v>1940</v>
      </c>
      <c r="E438" s="21" t="s">
        <v>1941</v>
      </c>
      <c r="F438" s="20" t="s">
        <v>21</v>
      </c>
      <c r="G438" s="20" t="s">
        <v>21</v>
      </c>
      <c r="H438" s="22" t="s">
        <v>464</v>
      </c>
      <c r="I438" s="23" t="s">
        <v>1321</v>
      </c>
      <c r="J438" s="24" t="s">
        <v>259</v>
      </c>
      <c r="K438" s="25">
        <f t="shared" si="37"/>
        <v>45938</v>
      </c>
      <c r="L438" s="26" t="str">
        <f t="shared" si="38"/>
        <v>Oct 25</v>
      </c>
      <c r="M438" s="26" t="str">
        <f t="shared" si="39"/>
        <v>2025</v>
      </c>
      <c r="N438" s="23" t="s">
        <v>1626</v>
      </c>
      <c r="O438" s="25">
        <f t="shared" si="42"/>
        <v>45985</v>
      </c>
      <c r="P438" s="27">
        <f t="shared" si="40"/>
        <v>1</v>
      </c>
      <c r="Q438" s="27">
        <f t="shared" si="41"/>
        <v>0</v>
      </c>
      <c r="R438" s="28" t="s">
        <v>22</v>
      </c>
      <c r="S438" s="21">
        <v>23358.05</v>
      </c>
      <c r="T438" s="18" t="s">
        <v>23</v>
      </c>
      <c r="U438" s="14"/>
    </row>
    <row r="439" spans="1:21" x14ac:dyDescent="0.2">
      <c r="A439" s="17">
        <v>437</v>
      </c>
      <c r="B439" s="19" t="s">
        <v>1942</v>
      </c>
      <c r="C439" s="19" t="s">
        <v>1943</v>
      </c>
      <c r="D439" s="20" t="s">
        <v>1944</v>
      </c>
      <c r="E439" s="21">
        <v>300000</v>
      </c>
      <c r="F439" s="20" t="s">
        <v>1945</v>
      </c>
      <c r="G439" s="20" t="s">
        <v>1946</v>
      </c>
      <c r="H439" s="22" t="s">
        <v>1947</v>
      </c>
      <c r="I439" s="23" t="s">
        <v>1948</v>
      </c>
      <c r="J439" s="24" t="s">
        <v>99</v>
      </c>
      <c r="K439" s="25">
        <f t="shared" si="37"/>
        <v>45677</v>
      </c>
      <c r="L439" s="26" t="str">
        <f t="shared" si="38"/>
        <v>Jan 25</v>
      </c>
      <c r="M439" s="26" t="str">
        <f t="shared" si="39"/>
        <v>2025</v>
      </c>
      <c r="N439" s="23" t="s">
        <v>594</v>
      </c>
      <c r="O439" s="25">
        <f t="shared" si="42"/>
        <v>45680</v>
      </c>
      <c r="P439" s="27">
        <f t="shared" si="40"/>
        <v>0</v>
      </c>
      <c r="Q439" s="27">
        <f t="shared" si="41"/>
        <v>0</v>
      </c>
      <c r="R439" s="28" t="s">
        <v>22</v>
      </c>
      <c r="S439" s="21">
        <v>10000</v>
      </c>
      <c r="T439" s="18" t="s">
        <v>23</v>
      </c>
      <c r="U439" s="14"/>
    </row>
    <row r="440" spans="1:21" x14ac:dyDescent="0.2">
      <c r="A440" s="17">
        <v>438</v>
      </c>
      <c r="B440" s="19" t="s">
        <v>1949</v>
      </c>
      <c r="C440" s="19" t="s">
        <v>1950</v>
      </c>
      <c r="D440" s="20" t="s">
        <v>1951</v>
      </c>
      <c r="E440" s="21">
        <v>75000</v>
      </c>
      <c r="F440" s="20" t="s">
        <v>21</v>
      </c>
      <c r="G440" s="20" t="s">
        <v>21</v>
      </c>
      <c r="H440" s="22" t="s">
        <v>186</v>
      </c>
      <c r="I440" s="23" t="s">
        <v>34</v>
      </c>
      <c r="J440" s="24" t="s">
        <v>1952</v>
      </c>
      <c r="K440" s="25">
        <f t="shared" si="37"/>
        <v>45635</v>
      </c>
      <c r="L440" s="26" t="str">
        <f t="shared" si="38"/>
        <v>Dec 24</v>
      </c>
      <c r="M440" s="26" t="str">
        <f t="shared" si="39"/>
        <v>2024</v>
      </c>
      <c r="N440" s="23" t="s">
        <v>152</v>
      </c>
      <c r="O440" s="25">
        <f t="shared" si="42"/>
        <v>45659</v>
      </c>
      <c r="P440" s="27">
        <f t="shared" si="40"/>
        <v>0</v>
      </c>
      <c r="Q440" s="27">
        <f t="shared" si="41"/>
        <v>1</v>
      </c>
      <c r="R440" s="28" t="s">
        <v>22</v>
      </c>
      <c r="S440" s="21">
        <v>950</v>
      </c>
      <c r="T440" s="18" t="s">
        <v>23</v>
      </c>
      <c r="U440" s="14"/>
    </row>
    <row r="441" spans="1:21" x14ac:dyDescent="0.2">
      <c r="A441" s="17">
        <v>439</v>
      </c>
      <c r="B441" s="18" t="s">
        <v>1953</v>
      </c>
      <c r="C441" s="19" t="s">
        <v>1954</v>
      </c>
      <c r="D441" s="20" t="s">
        <v>1955</v>
      </c>
      <c r="E441" s="21">
        <v>80000</v>
      </c>
      <c r="F441" s="20" t="s">
        <v>21</v>
      </c>
      <c r="G441" s="20" t="s">
        <v>21</v>
      </c>
      <c r="H441" s="22" t="s">
        <v>1956</v>
      </c>
      <c r="I441" s="23" t="s">
        <v>1561</v>
      </c>
      <c r="J441" s="24" t="s">
        <v>142</v>
      </c>
      <c r="K441" s="25">
        <f t="shared" si="37"/>
        <v>45665</v>
      </c>
      <c r="L441" s="26" t="str">
        <f t="shared" si="38"/>
        <v>Jan 25</v>
      </c>
      <c r="M441" s="26" t="str">
        <f t="shared" si="39"/>
        <v>2025</v>
      </c>
      <c r="N441" s="23" t="s">
        <v>283</v>
      </c>
      <c r="O441" s="25">
        <f t="shared" si="42"/>
        <v>45712</v>
      </c>
      <c r="P441" s="27">
        <f t="shared" si="40"/>
        <v>1</v>
      </c>
      <c r="Q441" s="27">
        <f t="shared" si="41"/>
        <v>0</v>
      </c>
      <c r="R441" s="28" t="s">
        <v>22</v>
      </c>
      <c r="S441" s="21">
        <v>72000</v>
      </c>
      <c r="T441" s="18" t="s">
        <v>23</v>
      </c>
      <c r="U441" s="14"/>
    </row>
    <row r="442" spans="1:21" x14ac:dyDescent="0.2">
      <c r="A442" s="17">
        <v>440</v>
      </c>
      <c r="B442" s="18" t="s">
        <v>1949</v>
      </c>
      <c r="C442" s="19" t="s">
        <v>1950</v>
      </c>
      <c r="D442" s="20" t="s">
        <v>1957</v>
      </c>
      <c r="E442" s="21">
        <v>75000</v>
      </c>
      <c r="F442" s="20" t="s">
        <v>21</v>
      </c>
      <c r="G442" s="20" t="s">
        <v>21</v>
      </c>
      <c r="H442" s="22" t="s">
        <v>27</v>
      </c>
      <c r="I442" s="23" t="s">
        <v>34</v>
      </c>
      <c r="J442" s="24" t="s">
        <v>562</v>
      </c>
      <c r="K442" s="25">
        <f t="shared" si="37"/>
        <v>45724</v>
      </c>
      <c r="L442" s="26" t="str">
        <f t="shared" si="38"/>
        <v>Mar 25</v>
      </c>
      <c r="M442" s="26" t="str">
        <f t="shared" si="39"/>
        <v>2025</v>
      </c>
      <c r="N442" s="23" t="s">
        <v>453</v>
      </c>
      <c r="O442" s="25">
        <f t="shared" si="42"/>
        <v>45727</v>
      </c>
      <c r="P442" s="27">
        <f t="shared" si="40"/>
        <v>0</v>
      </c>
      <c r="Q442" s="27">
        <f t="shared" si="41"/>
        <v>0</v>
      </c>
      <c r="R442" s="28" t="s">
        <v>22</v>
      </c>
      <c r="S442" s="21">
        <v>2656</v>
      </c>
      <c r="T442" s="18" t="s">
        <v>23</v>
      </c>
      <c r="U442" s="14"/>
    </row>
    <row r="443" spans="1:21" x14ac:dyDescent="0.2">
      <c r="A443" s="17">
        <v>441</v>
      </c>
      <c r="B443" s="18" t="s">
        <v>449</v>
      </c>
      <c r="C443" s="19" t="s">
        <v>1958</v>
      </c>
      <c r="D443" s="20" t="s">
        <v>1959</v>
      </c>
      <c r="E443" s="21">
        <v>350000</v>
      </c>
      <c r="F443" s="20" t="s">
        <v>21</v>
      </c>
      <c r="G443" s="20" t="s">
        <v>1960</v>
      </c>
      <c r="H443" s="22" t="s">
        <v>140</v>
      </c>
      <c r="I443" s="23" t="s">
        <v>141</v>
      </c>
      <c r="J443" s="24" t="s">
        <v>134</v>
      </c>
      <c r="K443" s="25">
        <f t="shared" si="37"/>
        <v>45643</v>
      </c>
      <c r="L443" s="26" t="str">
        <f t="shared" si="38"/>
        <v>Dec 24</v>
      </c>
      <c r="M443" s="26" t="str">
        <f t="shared" si="39"/>
        <v>2024</v>
      </c>
      <c r="N443" s="23" t="s">
        <v>486</v>
      </c>
      <c r="O443" s="25">
        <f t="shared" si="42"/>
        <v>45735</v>
      </c>
      <c r="P443" s="27">
        <f t="shared" si="40"/>
        <v>3</v>
      </c>
      <c r="Q443" s="27">
        <f t="shared" si="41"/>
        <v>1</v>
      </c>
      <c r="R443" s="28" t="s">
        <v>22</v>
      </c>
      <c r="S443" s="21">
        <v>155974</v>
      </c>
      <c r="T443" s="18" t="s">
        <v>23</v>
      </c>
      <c r="U443" s="14"/>
    </row>
    <row r="444" spans="1:21" x14ac:dyDescent="0.2">
      <c r="A444" s="17">
        <v>442</v>
      </c>
      <c r="B444" s="18" t="s">
        <v>1961</v>
      </c>
      <c r="C444" s="19" t="s">
        <v>1962</v>
      </c>
      <c r="D444" s="20" t="s">
        <v>1963</v>
      </c>
      <c r="E444" s="21">
        <v>100000</v>
      </c>
      <c r="F444" s="20" t="s">
        <v>1964</v>
      </c>
      <c r="G444" s="20" t="s">
        <v>1965</v>
      </c>
      <c r="H444" s="22" t="s">
        <v>1505</v>
      </c>
      <c r="I444" s="23" t="s">
        <v>641</v>
      </c>
      <c r="J444" s="24" t="s">
        <v>369</v>
      </c>
      <c r="K444" s="25">
        <f t="shared" si="37"/>
        <v>45748</v>
      </c>
      <c r="L444" s="26" t="str">
        <f t="shared" si="38"/>
        <v>Apr 25</v>
      </c>
      <c r="M444" s="26" t="str">
        <f t="shared" si="39"/>
        <v>2025</v>
      </c>
      <c r="N444" s="23" t="s">
        <v>611</v>
      </c>
      <c r="O444" s="25">
        <f t="shared" si="42"/>
        <v>45754</v>
      </c>
      <c r="P444" s="27">
        <f t="shared" si="40"/>
        <v>0</v>
      </c>
      <c r="Q444" s="27">
        <f t="shared" si="41"/>
        <v>0</v>
      </c>
      <c r="R444" s="28" t="s">
        <v>22</v>
      </c>
      <c r="S444" s="21">
        <v>64332</v>
      </c>
      <c r="T444" s="18" t="s">
        <v>23</v>
      </c>
      <c r="U444" s="14"/>
    </row>
    <row r="445" spans="1:21" x14ac:dyDescent="0.2">
      <c r="A445" s="17">
        <v>443</v>
      </c>
      <c r="B445" s="18" t="s">
        <v>1966</v>
      </c>
      <c r="C445" s="19" t="s">
        <v>1967</v>
      </c>
      <c r="D445" s="20" t="s">
        <v>1968</v>
      </c>
      <c r="E445" s="21">
        <v>35000</v>
      </c>
      <c r="F445" s="20" t="s">
        <v>1969</v>
      </c>
      <c r="G445" s="20" t="s">
        <v>21</v>
      </c>
      <c r="H445" s="22" t="s">
        <v>99</v>
      </c>
      <c r="I445" s="23" t="s">
        <v>856</v>
      </c>
      <c r="J445" s="24" t="s">
        <v>576</v>
      </c>
      <c r="K445" s="25">
        <f t="shared" si="37"/>
        <v>45769</v>
      </c>
      <c r="L445" s="26" t="str">
        <f t="shared" si="38"/>
        <v>Apr 25</v>
      </c>
      <c r="M445" s="26" t="str">
        <f t="shared" si="39"/>
        <v>2025</v>
      </c>
      <c r="N445" s="23" t="s">
        <v>769</v>
      </c>
      <c r="O445" s="25">
        <f t="shared" si="42"/>
        <v>45790</v>
      </c>
      <c r="P445" s="27">
        <f t="shared" si="40"/>
        <v>0</v>
      </c>
      <c r="Q445" s="27">
        <f t="shared" si="41"/>
        <v>0</v>
      </c>
      <c r="R445" s="28" t="s">
        <v>22</v>
      </c>
      <c r="S445" s="21">
        <v>58500</v>
      </c>
      <c r="T445" s="18" t="s">
        <v>23</v>
      </c>
      <c r="U445" s="14"/>
    </row>
    <row r="446" spans="1:21" x14ac:dyDescent="0.2">
      <c r="A446" s="17">
        <v>444</v>
      </c>
      <c r="B446" s="18" t="s">
        <v>1970</v>
      </c>
      <c r="C446" s="19" t="s">
        <v>1971</v>
      </c>
      <c r="D446" s="20" t="s">
        <v>1972</v>
      </c>
      <c r="E446" s="21">
        <v>100000</v>
      </c>
      <c r="F446" s="20" t="s">
        <v>1973</v>
      </c>
      <c r="G446" s="20" t="s">
        <v>21</v>
      </c>
      <c r="H446" s="22" t="s">
        <v>1863</v>
      </c>
      <c r="I446" s="23" t="s">
        <v>719</v>
      </c>
      <c r="J446" s="24" t="s">
        <v>1863</v>
      </c>
      <c r="K446" s="25">
        <f t="shared" si="37"/>
        <v>45759</v>
      </c>
      <c r="L446" s="26" t="str">
        <f t="shared" si="38"/>
        <v>Apr 25</v>
      </c>
      <c r="M446" s="26" t="str">
        <f t="shared" si="39"/>
        <v>2025</v>
      </c>
      <c r="N446" s="23" t="s">
        <v>719</v>
      </c>
      <c r="O446" s="25">
        <f t="shared" si="42"/>
        <v>45758</v>
      </c>
      <c r="P446" s="27" t="e">
        <f t="shared" si="40"/>
        <v>#NUM!</v>
      </c>
      <c r="Q446" s="27">
        <f t="shared" si="41"/>
        <v>0</v>
      </c>
      <c r="R446" s="28" t="s">
        <v>22</v>
      </c>
      <c r="S446" s="21">
        <v>12986.27</v>
      </c>
      <c r="T446" s="18" t="s">
        <v>23</v>
      </c>
      <c r="U446" s="14"/>
    </row>
    <row r="447" spans="1:21" x14ac:dyDescent="0.2">
      <c r="A447" s="17">
        <v>445</v>
      </c>
      <c r="B447" s="18" t="s">
        <v>1974</v>
      </c>
      <c r="C447" s="51" t="s">
        <v>1975</v>
      </c>
      <c r="D447" s="52" t="s">
        <v>1976</v>
      </c>
      <c r="E447" s="53">
        <v>150000</v>
      </c>
      <c r="F447" s="52" t="s">
        <v>21</v>
      </c>
      <c r="G447" s="52" t="s">
        <v>21</v>
      </c>
      <c r="H447" s="54" t="s">
        <v>611</v>
      </c>
      <c r="I447" s="55" t="s">
        <v>636</v>
      </c>
      <c r="J447" s="24" t="s">
        <v>769</v>
      </c>
      <c r="K447" s="25">
        <f t="shared" si="37"/>
        <v>45790</v>
      </c>
      <c r="L447" s="26" t="str">
        <f t="shared" si="38"/>
        <v>May 25</v>
      </c>
      <c r="M447" s="26" t="str">
        <f t="shared" si="39"/>
        <v>2025</v>
      </c>
      <c r="N447" s="23" t="s">
        <v>1071</v>
      </c>
      <c r="O447" s="25">
        <f t="shared" si="42"/>
        <v>45825</v>
      </c>
      <c r="P447" s="27">
        <f t="shared" si="40"/>
        <v>1</v>
      </c>
      <c r="Q447" s="27">
        <f t="shared" si="41"/>
        <v>0</v>
      </c>
      <c r="R447" s="28" t="s">
        <v>22</v>
      </c>
      <c r="S447" s="21">
        <v>135000</v>
      </c>
      <c r="T447" s="18" t="s">
        <v>23</v>
      </c>
      <c r="U447" s="14"/>
    </row>
    <row r="448" spans="1:21" x14ac:dyDescent="0.2">
      <c r="A448" s="17">
        <v>446</v>
      </c>
      <c r="B448" s="56" t="s">
        <v>1970</v>
      </c>
      <c r="C448" s="19" t="s">
        <v>1971</v>
      </c>
      <c r="D448" s="20" t="s">
        <v>1977</v>
      </c>
      <c r="E448" s="21">
        <v>100000</v>
      </c>
      <c r="F448" s="20" t="s">
        <v>21</v>
      </c>
      <c r="G448" s="20" t="s">
        <v>21</v>
      </c>
      <c r="H448" s="22" t="s">
        <v>1863</v>
      </c>
      <c r="I448" s="23" t="s">
        <v>719</v>
      </c>
      <c r="J448" s="57" t="s">
        <v>1863</v>
      </c>
      <c r="K448" s="25">
        <f t="shared" si="37"/>
        <v>45759</v>
      </c>
      <c r="L448" s="26" t="str">
        <f t="shared" si="38"/>
        <v>Apr 25</v>
      </c>
      <c r="M448" s="26" t="str">
        <f t="shared" si="39"/>
        <v>2025</v>
      </c>
      <c r="N448" s="55" t="s">
        <v>719</v>
      </c>
      <c r="O448" s="25">
        <f t="shared" si="42"/>
        <v>45758</v>
      </c>
      <c r="P448" s="27" t="e">
        <f t="shared" si="40"/>
        <v>#NUM!</v>
      </c>
      <c r="Q448" s="27">
        <f t="shared" si="41"/>
        <v>0</v>
      </c>
      <c r="R448" s="56" t="s">
        <v>22</v>
      </c>
      <c r="S448" s="53">
        <v>3240</v>
      </c>
      <c r="T448" s="18" t="s">
        <v>23</v>
      </c>
      <c r="U448" s="14"/>
    </row>
    <row r="449" spans="1:21" x14ac:dyDescent="0.2">
      <c r="A449" s="17">
        <v>447</v>
      </c>
      <c r="B449" s="18" t="s">
        <v>1978</v>
      </c>
      <c r="C449" s="19" t="s">
        <v>1979</v>
      </c>
      <c r="D449" s="20" t="s">
        <v>1980</v>
      </c>
      <c r="E449" s="21">
        <v>80000</v>
      </c>
      <c r="F449" s="20" t="s">
        <v>21</v>
      </c>
      <c r="G449" s="20" t="s">
        <v>21</v>
      </c>
      <c r="H449" s="22" t="s">
        <v>235</v>
      </c>
      <c r="I449" s="23" t="s">
        <v>303</v>
      </c>
      <c r="J449" s="24" t="s">
        <v>703</v>
      </c>
      <c r="K449" s="25">
        <f t="shared" si="37"/>
        <v>45745</v>
      </c>
      <c r="L449" s="26" t="str">
        <f t="shared" si="38"/>
        <v>Mar 25</v>
      </c>
      <c r="M449" s="26" t="str">
        <f t="shared" si="39"/>
        <v>2025</v>
      </c>
      <c r="N449" s="23" t="s">
        <v>962</v>
      </c>
      <c r="O449" s="25">
        <f t="shared" si="42"/>
        <v>45831</v>
      </c>
      <c r="P449" s="27">
        <f t="shared" si="40"/>
        <v>2</v>
      </c>
      <c r="Q449" s="27">
        <f t="shared" si="41"/>
        <v>0</v>
      </c>
      <c r="R449" s="28" t="s">
        <v>65</v>
      </c>
      <c r="S449" s="21">
        <v>29552</v>
      </c>
      <c r="T449" s="18" t="s">
        <v>23</v>
      </c>
      <c r="U449" s="14"/>
    </row>
    <row r="450" spans="1:21" x14ac:dyDescent="0.2">
      <c r="A450" s="17">
        <v>448</v>
      </c>
      <c r="B450" s="18" t="s">
        <v>1981</v>
      </c>
      <c r="C450" s="19" t="s">
        <v>1982</v>
      </c>
      <c r="D450" s="20" t="s">
        <v>1983</v>
      </c>
      <c r="E450" s="21">
        <v>120000</v>
      </c>
      <c r="F450" s="20" t="s">
        <v>21</v>
      </c>
      <c r="G450" s="20" t="s">
        <v>21</v>
      </c>
      <c r="H450" s="22" t="s">
        <v>1984</v>
      </c>
      <c r="I450" s="23" t="s">
        <v>1631</v>
      </c>
      <c r="J450" s="24" t="s">
        <v>857</v>
      </c>
      <c r="K450" s="25">
        <f t="shared" si="37"/>
        <v>45814</v>
      </c>
      <c r="L450" s="26" t="str">
        <f t="shared" si="38"/>
        <v>Jun 25</v>
      </c>
      <c r="M450" s="26" t="str">
        <f t="shared" si="39"/>
        <v>2025</v>
      </c>
      <c r="N450" s="23" t="s">
        <v>1085</v>
      </c>
      <c r="O450" s="25">
        <f t="shared" si="42"/>
        <v>45860</v>
      </c>
      <c r="P450" s="27">
        <f t="shared" si="40"/>
        <v>1</v>
      </c>
      <c r="Q450" s="27">
        <f t="shared" si="41"/>
        <v>0</v>
      </c>
      <c r="R450" s="28" t="s">
        <v>22</v>
      </c>
      <c r="S450" s="21">
        <v>9900</v>
      </c>
      <c r="T450" s="18" t="s">
        <v>23</v>
      </c>
      <c r="U450" s="14"/>
    </row>
    <row r="451" spans="1:21" x14ac:dyDescent="0.2">
      <c r="A451" s="17">
        <v>449</v>
      </c>
      <c r="B451" s="18" t="s">
        <v>1461</v>
      </c>
      <c r="C451" s="19" t="s">
        <v>1985</v>
      </c>
      <c r="D451" s="20" t="s">
        <v>1986</v>
      </c>
      <c r="E451" s="21">
        <v>350000</v>
      </c>
      <c r="F451" s="20" t="s">
        <v>21</v>
      </c>
      <c r="G451" s="20" t="s">
        <v>21</v>
      </c>
      <c r="H451" s="22" t="s">
        <v>110</v>
      </c>
      <c r="I451" s="23" t="s">
        <v>111</v>
      </c>
      <c r="J451" s="24" t="s">
        <v>1145</v>
      </c>
      <c r="K451" s="25">
        <f t="shared" si="37"/>
        <v>45877</v>
      </c>
      <c r="L451" s="26" t="str">
        <f t="shared" si="38"/>
        <v>Aug 25</v>
      </c>
      <c r="M451" s="26" t="str">
        <f t="shared" si="39"/>
        <v>2025</v>
      </c>
      <c r="N451" s="23" t="s">
        <v>1458</v>
      </c>
      <c r="O451" s="25">
        <f t="shared" si="42"/>
        <v>45890</v>
      </c>
      <c r="P451" s="27">
        <f t="shared" si="40"/>
        <v>0</v>
      </c>
      <c r="Q451" s="27">
        <f t="shared" si="41"/>
        <v>0</v>
      </c>
      <c r="R451" s="28" t="s">
        <v>22</v>
      </c>
      <c r="S451" s="21">
        <v>3601.8</v>
      </c>
      <c r="T451" s="18" t="s">
        <v>23</v>
      </c>
      <c r="U451" s="14"/>
    </row>
    <row r="452" spans="1:21" x14ac:dyDescent="0.2">
      <c r="A452" s="17">
        <v>450</v>
      </c>
      <c r="B452" s="18" t="s">
        <v>1987</v>
      </c>
      <c r="C452" s="19" t="s">
        <v>1988</v>
      </c>
      <c r="D452" s="20" t="s">
        <v>1989</v>
      </c>
      <c r="E452" s="21">
        <v>50000</v>
      </c>
      <c r="F452" s="20" t="s">
        <v>1990</v>
      </c>
      <c r="G452" s="20" t="s">
        <v>21</v>
      </c>
      <c r="H452" s="22" t="s">
        <v>27</v>
      </c>
      <c r="I452" s="23" t="s">
        <v>28</v>
      </c>
      <c r="J452" s="24" t="s">
        <v>1021</v>
      </c>
      <c r="K452" s="25">
        <f t="shared" ref="K452:K515" si="43">DATE(RIGHT(J452,4),MID(J452,4,2),LEFT(J452,2))</f>
        <v>45952</v>
      </c>
      <c r="L452" s="26" t="str">
        <f t="shared" ref="L452:L515" si="44">TEXT(K452,"MMM YY")</f>
        <v>Oct 25</v>
      </c>
      <c r="M452" s="26" t="str">
        <f t="shared" ref="M452:M515" si="45">TEXT(K452,"yyyy")</f>
        <v>2025</v>
      </c>
      <c r="N452" s="23" t="s">
        <v>54</v>
      </c>
      <c r="O452" s="25">
        <f t="shared" si="42"/>
        <v>45896</v>
      </c>
      <c r="P452" s="27" t="e">
        <f t="shared" ref="P452:P515" si="46">DATEDIF(K452,O452,"M")</f>
        <v>#NUM!</v>
      </c>
      <c r="Q452" s="27">
        <f t="shared" ref="Q452:Q515" si="47">YEAR(O452)-YEAR(K452)</f>
        <v>0</v>
      </c>
      <c r="R452" s="28" t="s">
        <v>1991</v>
      </c>
      <c r="S452" s="21">
        <v>27000</v>
      </c>
      <c r="T452" s="18" t="s">
        <v>23</v>
      </c>
      <c r="U452" s="14"/>
    </row>
    <row r="453" spans="1:21" x14ac:dyDescent="0.2">
      <c r="A453" s="17">
        <v>451</v>
      </c>
      <c r="B453" s="18" t="s">
        <v>1992</v>
      </c>
      <c r="C453" s="19" t="s">
        <v>1993</v>
      </c>
      <c r="D453" s="20" t="s">
        <v>1994</v>
      </c>
      <c r="E453" s="21">
        <v>100000</v>
      </c>
      <c r="F453" s="20" t="s">
        <v>21</v>
      </c>
      <c r="G453" s="20" t="s">
        <v>21</v>
      </c>
      <c r="H453" s="22" t="s">
        <v>207</v>
      </c>
      <c r="I453" s="23" t="s">
        <v>1995</v>
      </c>
      <c r="J453" s="24" t="s">
        <v>389</v>
      </c>
      <c r="K453" s="25">
        <f t="shared" si="43"/>
        <v>45892</v>
      </c>
      <c r="L453" s="26" t="str">
        <f t="shared" si="44"/>
        <v>Aug 25</v>
      </c>
      <c r="M453" s="26" t="str">
        <f t="shared" si="45"/>
        <v>2025</v>
      </c>
      <c r="N453" s="23" t="s">
        <v>1272</v>
      </c>
      <c r="O453" s="25">
        <f t="shared" si="42"/>
        <v>45904</v>
      </c>
      <c r="P453" s="27">
        <f t="shared" si="46"/>
        <v>0</v>
      </c>
      <c r="Q453" s="27">
        <f t="shared" si="47"/>
        <v>0</v>
      </c>
      <c r="R453" s="28" t="s">
        <v>22</v>
      </c>
      <c r="S453" s="21">
        <v>25995</v>
      </c>
      <c r="T453" s="18" t="s">
        <v>23</v>
      </c>
      <c r="U453" s="14"/>
    </row>
    <row r="454" spans="1:21" x14ac:dyDescent="0.2">
      <c r="A454" s="17">
        <v>452</v>
      </c>
      <c r="B454" s="18" t="s">
        <v>1996</v>
      </c>
      <c r="C454" s="19" t="s">
        <v>1997</v>
      </c>
      <c r="D454" s="20" t="s">
        <v>1998</v>
      </c>
      <c r="E454" s="21">
        <v>75000</v>
      </c>
      <c r="F454" s="20" t="s">
        <v>21</v>
      </c>
      <c r="G454" s="20" t="s">
        <v>21</v>
      </c>
      <c r="H454" s="22">
        <v>45748</v>
      </c>
      <c r="I454" s="23">
        <v>46112</v>
      </c>
      <c r="J454" s="24">
        <v>45901</v>
      </c>
      <c r="K454" s="25">
        <f t="shared" si="43"/>
        <v>1461381</v>
      </c>
      <c r="L454" s="26" t="str">
        <f t="shared" si="44"/>
        <v>Feb 01</v>
      </c>
      <c r="M454" s="26" t="str">
        <f t="shared" si="45"/>
        <v>5901</v>
      </c>
      <c r="N454" s="23" t="s">
        <v>1448</v>
      </c>
      <c r="O454" s="25">
        <f t="shared" si="42"/>
        <v>45912</v>
      </c>
      <c r="P454" s="27" t="e">
        <f t="shared" si="46"/>
        <v>#NUM!</v>
      </c>
      <c r="Q454" s="27">
        <f t="shared" si="47"/>
        <v>-3876</v>
      </c>
      <c r="R454" s="28" t="s">
        <v>22</v>
      </c>
      <c r="S454" s="21">
        <v>8280</v>
      </c>
      <c r="T454" s="18" t="s">
        <v>23</v>
      </c>
      <c r="U454" s="14"/>
    </row>
    <row r="455" spans="1:21" x14ac:dyDescent="0.2">
      <c r="A455" s="17">
        <v>453</v>
      </c>
      <c r="B455" s="18" t="s">
        <v>1999</v>
      </c>
      <c r="C455" s="19" t="s">
        <v>2000</v>
      </c>
      <c r="D455" s="20" t="s">
        <v>2001</v>
      </c>
      <c r="E455" s="21">
        <v>150000</v>
      </c>
      <c r="F455" s="20" t="s">
        <v>21</v>
      </c>
      <c r="G455" s="20" t="s">
        <v>21</v>
      </c>
      <c r="H455" s="22" t="s">
        <v>27</v>
      </c>
      <c r="I455" s="23" t="s">
        <v>28</v>
      </c>
      <c r="J455" s="24" t="s">
        <v>2002</v>
      </c>
      <c r="K455" s="25">
        <f t="shared" si="43"/>
        <v>45885</v>
      </c>
      <c r="L455" s="26" t="str">
        <f t="shared" si="44"/>
        <v>Aug 25</v>
      </c>
      <c r="M455" s="26" t="str">
        <f t="shared" si="45"/>
        <v>2025</v>
      </c>
      <c r="N455" s="23" t="s">
        <v>340</v>
      </c>
      <c r="O455" s="25">
        <f t="shared" si="42"/>
        <v>45950</v>
      </c>
      <c r="P455" s="27">
        <f t="shared" si="46"/>
        <v>2</v>
      </c>
      <c r="Q455" s="27">
        <f t="shared" si="47"/>
        <v>0</v>
      </c>
      <c r="R455" s="28" t="s">
        <v>2003</v>
      </c>
      <c r="S455" s="21">
        <v>65925</v>
      </c>
      <c r="T455" s="18" t="s">
        <v>23</v>
      </c>
      <c r="U455" s="14"/>
    </row>
    <row r="456" spans="1:21" x14ac:dyDescent="0.2">
      <c r="A456" s="17">
        <v>454</v>
      </c>
      <c r="B456" s="18" t="s">
        <v>2004</v>
      </c>
      <c r="C456" s="19" t="s">
        <v>2005</v>
      </c>
      <c r="D456" s="20" t="s">
        <v>2006</v>
      </c>
      <c r="E456" s="21">
        <v>50000</v>
      </c>
      <c r="F456" s="20" t="s">
        <v>21</v>
      </c>
      <c r="G456" s="20" t="s">
        <v>21</v>
      </c>
      <c r="H456" s="22" t="s">
        <v>140</v>
      </c>
      <c r="I456" s="23" t="s">
        <v>141</v>
      </c>
      <c r="J456" s="24" t="s">
        <v>1332</v>
      </c>
      <c r="K456" s="25">
        <f t="shared" si="43"/>
        <v>45909</v>
      </c>
      <c r="L456" s="26" t="str">
        <f t="shared" si="44"/>
        <v>Sep 25</v>
      </c>
      <c r="M456" s="26" t="str">
        <f t="shared" si="45"/>
        <v>2025</v>
      </c>
      <c r="N456" s="23" t="s">
        <v>1495</v>
      </c>
      <c r="O456" s="25">
        <f t="shared" si="42"/>
        <v>45920</v>
      </c>
      <c r="P456" s="27">
        <f t="shared" si="46"/>
        <v>0</v>
      </c>
      <c r="Q456" s="27">
        <f t="shared" si="47"/>
        <v>0</v>
      </c>
      <c r="R456" s="28" t="s">
        <v>22</v>
      </c>
      <c r="S456" s="21">
        <v>3150</v>
      </c>
      <c r="T456" s="18" t="s">
        <v>23</v>
      </c>
      <c r="U456" s="14"/>
    </row>
    <row r="457" spans="1:21" x14ac:dyDescent="0.2">
      <c r="A457" s="17">
        <v>455</v>
      </c>
      <c r="B457" s="18" t="s">
        <v>2007</v>
      </c>
      <c r="C457" s="19" t="s">
        <v>2008</v>
      </c>
      <c r="D457" s="20" t="s">
        <v>2009</v>
      </c>
      <c r="E457" s="21" t="s">
        <v>2010</v>
      </c>
      <c r="F457" s="20" t="s">
        <v>21</v>
      </c>
      <c r="G457" s="20" t="s">
        <v>21</v>
      </c>
      <c r="H457" s="22" t="s">
        <v>140</v>
      </c>
      <c r="I457" s="23" t="s">
        <v>141</v>
      </c>
      <c r="J457" s="24" t="s">
        <v>688</v>
      </c>
      <c r="K457" s="25">
        <f t="shared" si="43"/>
        <v>45782</v>
      </c>
      <c r="L457" s="26" t="str">
        <f t="shared" si="44"/>
        <v>May 25</v>
      </c>
      <c r="M457" s="26" t="str">
        <f t="shared" si="45"/>
        <v>2025</v>
      </c>
      <c r="N457" s="23" t="s">
        <v>2011</v>
      </c>
      <c r="O457" s="25">
        <f t="shared" si="42"/>
        <v>129</v>
      </c>
      <c r="P457" s="27" t="e">
        <f t="shared" si="46"/>
        <v>#NUM!</v>
      </c>
      <c r="Q457" s="27">
        <f t="shared" si="47"/>
        <v>-125</v>
      </c>
      <c r="R457" s="28" t="s">
        <v>22</v>
      </c>
      <c r="S457" s="21">
        <v>25249.24</v>
      </c>
      <c r="T457" s="18" t="s">
        <v>23</v>
      </c>
      <c r="U457" s="14"/>
    </row>
    <row r="458" spans="1:21" x14ac:dyDescent="0.2">
      <c r="A458" s="17">
        <v>456</v>
      </c>
      <c r="B458" s="18" t="s">
        <v>2012</v>
      </c>
      <c r="C458" s="19" t="s">
        <v>2013</v>
      </c>
      <c r="D458" s="20" t="s">
        <v>2014</v>
      </c>
      <c r="E458" s="21" t="s">
        <v>795</v>
      </c>
      <c r="F458" s="20" t="s">
        <v>2015</v>
      </c>
      <c r="G458" s="20" t="s">
        <v>21</v>
      </c>
      <c r="H458" s="22" t="s">
        <v>110</v>
      </c>
      <c r="I458" s="23" t="s">
        <v>111</v>
      </c>
      <c r="J458" s="24" t="s">
        <v>922</v>
      </c>
      <c r="K458" s="25">
        <f t="shared" si="43"/>
        <v>45809</v>
      </c>
      <c r="L458" s="26" t="str">
        <f t="shared" si="44"/>
        <v>Jun 25</v>
      </c>
      <c r="M458" s="26" t="str">
        <f t="shared" si="45"/>
        <v>2025</v>
      </c>
      <c r="N458" s="23" t="s">
        <v>861</v>
      </c>
      <c r="O458" s="25">
        <f t="shared" si="42"/>
        <v>45811</v>
      </c>
      <c r="P458" s="27">
        <f t="shared" si="46"/>
        <v>0</v>
      </c>
      <c r="Q458" s="27">
        <f t="shared" si="47"/>
        <v>0</v>
      </c>
      <c r="R458" s="28" t="s">
        <v>22</v>
      </c>
      <c r="S458" s="21">
        <v>27434</v>
      </c>
      <c r="T458" s="18" t="s">
        <v>23</v>
      </c>
      <c r="U458" s="14"/>
    </row>
    <row r="459" spans="1:21" x14ac:dyDescent="0.2">
      <c r="A459" s="17">
        <v>457</v>
      </c>
      <c r="B459" s="18" t="s">
        <v>2016</v>
      </c>
      <c r="C459" s="19" t="s">
        <v>2017</v>
      </c>
      <c r="D459" s="20" t="s">
        <v>2018</v>
      </c>
      <c r="E459" s="21" t="s">
        <v>2019</v>
      </c>
      <c r="F459" s="20" t="s">
        <v>2020</v>
      </c>
      <c r="G459" s="20" t="s">
        <v>21</v>
      </c>
      <c r="H459" s="22" t="s">
        <v>182</v>
      </c>
      <c r="I459" s="23" t="s">
        <v>1667</v>
      </c>
      <c r="J459" s="24" t="s">
        <v>1211</v>
      </c>
      <c r="K459" s="25">
        <f t="shared" si="43"/>
        <v>45871</v>
      </c>
      <c r="L459" s="26" t="str">
        <f t="shared" si="44"/>
        <v>Aug 25</v>
      </c>
      <c r="M459" s="26" t="str">
        <f t="shared" si="45"/>
        <v>2025</v>
      </c>
      <c r="N459" s="23" t="s">
        <v>1368</v>
      </c>
      <c r="O459" s="25">
        <f t="shared" si="42"/>
        <v>45917</v>
      </c>
      <c r="P459" s="27">
        <f t="shared" si="46"/>
        <v>1</v>
      </c>
      <c r="Q459" s="27">
        <f t="shared" si="47"/>
        <v>0</v>
      </c>
      <c r="R459" s="28" t="s">
        <v>22</v>
      </c>
      <c r="S459" s="21">
        <v>77017</v>
      </c>
      <c r="T459" s="18" t="s">
        <v>23</v>
      </c>
      <c r="U459" s="14"/>
    </row>
    <row r="460" spans="1:21" x14ac:dyDescent="0.2">
      <c r="A460" s="17">
        <v>458</v>
      </c>
      <c r="B460" s="18" t="s">
        <v>2016</v>
      </c>
      <c r="C460" s="19" t="s">
        <v>2017</v>
      </c>
      <c r="D460" s="20" t="s">
        <v>2021</v>
      </c>
      <c r="E460" s="21" t="s">
        <v>2019</v>
      </c>
      <c r="F460" s="20" t="s">
        <v>2022</v>
      </c>
      <c r="G460" s="20" t="s">
        <v>21</v>
      </c>
      <c r="H460" s="22" t="s">
        <v>182</v>
      </c>
      <c r="I460" s="23" t="s">
        <v>1667</v>
      </c>
      <c r="J460" s="24" t="s">
        <v>1211</v>
      </c>
      <c r="K460" s="25">
        <f t="shared" si="43"/>
        <v>45871</v>
      </c>
      <c r="L460" s="26" t="str">
        <f t="shared" si="44"/>
        <v>Aug 25</v>
      </c>
      <c r="M460" s="26" t="str">
        <f t="shared" si="45"/>
        <v>2025</v>
      </c>
      <c r="N460" s="23" t="s">
        <v>1368</v>
      </c>
      <c r="O460" s="25">
        <f t="shared" si="42"/>
        <v>45917</v>
      </c>
      <c r="P460" s="27">
        <f t="shared" si="46"/>
        <v>1</v>
      </c>
      <c r="Q460" s="27">
        <f t="shared" si="47"/>
        <v>0</v>
      </c>
      <c r="R460" s="28" t="s">
        <v>22</v>
      </c>
      <c r="S460" s="21">
        <v>447513.44</v>
      </c>
      <c r="T460" s="18" t="s">
        <v>23</v>
      </c>
      <c r="U460" s="14"/>
    </row>
    <row r="461" spans="1:21" x14ac:dyDescent="0.2">
      <c r="A461" s="17">
        <v>459</v>
      </c>
      <c r="B461" s="18" t="s">
        <v>2007</v>
      </c>
      <c r="C461" s="19" t="s">
        <v>2008</v>
      </c>
      <c r="D461" s="20" t="s">
        <v>2023</v>
      </c>
      <c r="E461" s="21" t="s">
        <v>2010</v>
      </c>
      <c r="F461" s="20" t="s">
        <v>21</v>
      </c>
      <c r="G461" s="20" t="s">
        <v>21</v>
      </c>
      <c r="H461" s="22" t="s">
        <v>140</v>
      </c>
      <c r="I461" s="23" t="s">
        <v>141</v>
      </c>
      <c r="J461" s="24" t="s">
        <v>1490</v>
      </c>
      <c r="K461" s="25">
        <f t="shared" si="43"/>
        <v>45937</v>
      </c>
      <c r="L461" s="26" t="str">
        <f t="shared" si="44"/>
        <v>Oct 25</v>
      </c>
      <c r="M461" s="26" t="str">
        <f t="shared" si="45"/>
        <v>2025</v>
      </c>
      <c r="N461" s="23" t="s">
        <v>1561</v>
      </c>
      <c r="O461" s="25">
        <f t="shared" si="42"/>
        <v>45968</v>
      </c>
      <c r="P461" s="27">
        <f t="shared" si="46"/>
        <v>1</v>
      </c>
      <c r="Q461" s="27">
        <f t="shared" si="47"/>
        <v>0</v>
      </c>
      <c r="R461" s="28" t="s">
        <v>65</v>
      </c>
      <c r="S461" s="21">
        <v>23085</v>
      </c>
      <c r="T461" s="18" t="s">
        <v>23</v>
      </c>
      <c r="U461" s="14"/>
    </row>
    <row r="462" spans="1:21" x14ac:dyDescent="0.2">
      <c r="A462" s="17">
        <v>460</v>
      </c>
      <c r="B462" s="18" t="s">
        <v>2024</v>
      </c>
      <c r="C462" s="19" t="s">
        <v>2025</v>
      </c>
      <c r="D462" s="20" t="s">
        <v>2026</v>
      </c>
      <c r="E462" s="21">
        <v>40000</v>
      </c>
      <c r="F462" s="20" t="s">
        <v>2027</v>
      </c>
      <c r="G462" s="20" t="s">
        <v>21</v>
      </c>
      <c r="H462" s="22" t="s">
        <v>1571</v>
      </c>
      <c r="I462" s="23" t="s">
        <v>2028</v>
      </c>
      <c r="J462" s="24" t="s">
        <v>1626</v>
      </c>
      <c r="K462" s="25">
        <f t="shared" si="43"/>
        <v>45985</v>
      </c>
      <c r="L462" s="26" t="str">
        <f t="shared" si="44"/>
        <v>Nov 25</v>
      </c>
      <c r="M462" s="26" t="str">
        <f t="shared" si="45"/>
        <v>2025</v>
      </c>
      <c r="N462" s="23" t="s">
        <v>1626</v>
      </c>
      <c r="O462" s="25">
        <f t="shared" si="42"/>
        <v>45985</v>
      </c>
      <c r="P462" s="27">
        <f t="shared" si="46"/>
        <v>0</v>
      </c>
      <c r="Q462" s="27">
        <f t="shared" si="47"/>
        <v>0</v>
      </c>
      <c r="R462" s="28" t="s">
        <v>2029</v>
      </c>
      <c r="S462" s="21">
        <v>63000</v>
      </c>
      <c r="T462" s="18" t="s">
        <v>23</v>
      </c>
      <c r="U462" s="14"/>
    </row>
    <row r="463" spans="1:21" x14ac:dyDescent="0.2">
      <c r="A463" s="17">
        <v>461</v>
      </c>
      <c r="B463" s="18" t="s">
        <v>2030</v>
      </c>
      <c r="C463" s="19" t="s">
        <v>2031</v>
      </c>
      <c r="D463" s="20" t="s">
        <v>2032</v>
      </c>
      <c r="E463" s="21">
        <v>40000</v>
      </c>
      <c r="F463" s="20" t="s">
        <v>21</v>
      </c>
      <c r="G463" s="20" t="s">
        <v>21</v>
      </c>
      <c r="H463" s="22" t="s">
        <v>177</v>
      </c>
      <c r="I463" s="23" t="s">
        <v>98</v>
      </c>
      <c r="J463" s="24" t="s">
        <v>182</v>
      </c>
      <c r="K463" s="25">
        <f t="shared" si="43"/>
        <v>45640</v>
      </c>
      <c r="L463" s="26" t="str">
        <f t="shared" si="44"/>
        <v>Dec 24</v>
      </c>
      <c r="M463" s="26" t="str">
        <f t="shared" si="45"/>
        <v>2024</v>
      </c>
      <c r="N463" s="23" t="s">
        <v>128</v>
      </c>
      <c r="O463" s="25">
        <f t="shared" si="42"/>
        <v>45664</v>
      </c>
      <c r="P463" s="27">
        <f t="shared" si="46"/>
        <v>0</v>
      </c>
      <c r="Q463" s="27">
        <f t="shared" si="47"/>
        <v>1</v>
      </c>
      <c r="R463" s="28" t="s">
        <v>22</v>
      </c>
      <c r="S463" s="21">
        <v>36000</v>
      </c>
      <c r="T463" s="18" t="s">
        <v>23</v>
      </c>
      <c r="U463" s="14"/>
    </row>
    <row r="464" spans="1:21" x14ac:dyDescent="0.2">
      <c r="A464" s="17">
        <v>462</v>
      </c>
      <c r="B464" s="18" t="s">
        <v>2033</v>
      </c>
      <c r="C464" s="19" t="s">
        <v>2034</v>
      </c>
      <c r="D464" s="20" t="s">
        <v>2035</v>
      </c>
      <c r="E464" s="21">
        <v>200000</v>
      </c>
      <c r="F464" s="20" t="s">
        <v>21</v>
      </c>
      <c r="G464" s="20" t="s">
        <v>21</v>
      </c>
      <c r="H464" s="22" t="s">
        <v>309</v>
      </c>
      <c r="I464" s="23" t="s">
        <v>1239</v>
      </c>
      <c r="J464" s="24" t="s">
        <v>173</v>
      </c>
      <c r="K464" s="25">
        <f t="shared" si="43"/>
        <v>45662</v>
      </c>
      <c r="L464" s="26" t="str">
        <f t="shared" si="44"/>
        <v>Jan 25</v>
      </c>
      <c r="M464" s="26" t="str">
        <f t="shared" si="45"/>
        <v>2025</v>
      </c>
      <c r="N464" s="23" t="s">
        <v>1127</v>
      </c>
      <c r="O464" s="25">
        <f t="shared" si="42"/>
        <v>45673</v>
      </c>
      <c r="P464" s="27">
        <f t="shared" si="46"/>
        <v>0</v>
      </c>
      <c r="Q464" s="27">
        <f t="shared" si="47"/>
        <v>0</v>
      </c>
      <c r="R464" s="28" t="s">
        <v>22</v>
      </c>
      <c r="S464" s="21">
        <v>3150</v>
      </c>
      <c r="T464" s="18" t="s">
        <v>23</v>
      </c>
      <c r="U464" s="14"/>
    </row>
    <row r="465" spans="1:21" x14ac:dyDescent="0.2">
      <c r="A465" s="17">
        <v>463</v>
      </c>
      <c r="B465" s="18" t="s">
        <v>2036</v>
      </c>
      <c r="C465" s="19" t="s">
        <v>2037</v>
      </c>
      <c r="D465" s="20" t="s">
        <v>2038</v>
      </c>
      <c r="E465" s="21">
        <v>95000</v>
      </c>
      <c r="F465" s="20" t="s">
        <v>21</v>
      </c>
      <c r="G465" s="20" t="s">
        <v>21</v>
      </c>
      <c r="H465" s="22" t="s">
        <v>2039</v>
      </c>
      <c r="I465" s="23" t="s">
        <v>1453</v>
      </c>
      <c r="J465" s="24" t="s">
        <v>595</v>
      </c>
      <c r="K465" s="25">
        <f t="shared" si="43"/>
        <v>45690</v>
      </c>
      <c r="L465" s="26" t="str">
        <f t="shared" si="44"/>
        <v>Feb 25</v>
      </c>
      <c r="M465" s="26" t="str">
        <f t="shared" si="45"/>
        <v>2025</v>
      </c>
      <c r="N465" s="23" t="s">
        <v>363</v>
      </c>
      <c r="O465" s="25">
        <f t="shared" si="42"/>
        <v>45713</v>
      </c>
      <c r="P465" s="27">
        <f t="shared" si="46"/>
        <v>0</v>
      </c>
      <c r="Q465" s="27">
        <f t="shared" si="47"/>
        <v>0</v>
      </c>
      <c r="R465" s="28" t="s">
        <v>22</v>
      </c>
      <c r="S465" s="21">
        <v>3465</v>
      </c>
      <c r="T465" s="18" t="s">
        <v>23</v>
      </c>
      <c r="U465" s="14"/>
    </row>
    <row r="466" spans="1:21" x14ac:dyDescent="0.2">
      <c r="A466" s="17">
        <v>464</v>
      </c>
      <c r="B466" s="18" t="s">
        <v>2040</v>
      </c>
      <c r="C466" s="19" t="s">
        <v>2041</v>
      </c>
      <c r="D466" s="20" t="s">
        <v>2042</v>
      </c>
      <c r="E466" s="21">
        <v>400000</v>
      </c>
      <c r="F466" s="20" t="s">
        <v>21</v>
      </c>
      <c r="G466" s="20" t="s">
        <v>21</v>
      </c>
      <c r="H466" s="22" t="s">
        <v>2043</v>
      </c>
      <c r="I466" s="23" t="s">
        <v>403</v>
      </c>
      <c r="J466" s="24" t="s">
        <v>207</v>
      </c>
      <c r="K466" s="25">
        <f t="shared" si="43"/>
        <v>45682</v>
      </c>
      <c r="L466" s="26" t="str">
        <f t="shared" si="44"/>
        <v>Jan 25</v>
      </c>
      <c r="M466" s="26" t="str">
        <f t="shared" si="45"/>
        <v>2025</v>
      </c>
      <c r="N466" s="23" t="s">
        <v>230</v>
      </c>
      <c r="O466" s="25">
        <f t="shared" si="42"/>
        <v>45715</v>
      </c>
      <c r="P466" s="27">
        <f t="shared" si="46"/>
        <v>1</v>
      </c>
      <c r="Q466" s="27">
        <f t="shared" si="47"/>
        <v>0</v>
      </c>
      <c r="R466" s="28" t="s">
        <v>22</v>
      </c>
      <c r="S466" s="21">
        <v>10440</v>
      </c>
      <c r="T466" s="18" t="s">
        <v>23</v>
      </c>
      <c r="U466" s="14"/>
    </row>
    <row r="467" spans="1:21" x14ac:dyDescent="0.2">
      <c r="A467" s="17">
        <v>465</v>
      </c>
      <c r="B467" s="18" t="s">
        <v>2044</v>
      </c>
      <c r="C467" s="19" t="s">
        <v>2045</v>
      </c>
      <c r="D467" s="20" t="s">
        <v>2046</v>
      </c>
      <c r="E467" s="21">
        <v>85000</v>
      </c>
      <c r="F467" s="20" t="s">
        <v>2047</v>
      </c>
      <c r="G467" s="20" t="s">
        <v>21</v>
      </c>
      <c r="H467" s="22" t="s">
        <v>2048</v>
      </c>
      <c r="I467" s="23" t="s">
        <v>54</v>
      </c>
      <c r="J467" s="24" t="s">
        <v>113</v>
      </c>
      <c r="K467" s="25">
        <f t="shared" si="43"/>
        <v>45720</v>
      </c>
      <c r="L467" s="26" t="str">
        <f t="shared" si="44"/>
        <v>Mar 25</v>
      </c>
      <c r="M467" s="26" t="str">
        <f t="shared" si="45"/>
        <v>2025</v>
      </c>
      <c r="N467" s="23" t="s">
        <v>2049</v>
      </c>
      <c r="O467" s="25">
        <f t="shared" ref="O467:O530" si="48">DATE(RIGHT(N467,4),MID(N467,4,2),LEFT(N467,2))</f>
        <v>45723</v>
      </c>
      <c r="P467" s="27">
        <f t="shared" si="46"/>
        <v>0</v>
      </c>
      <c r="Q467" s="27">
        <f t="shared" si="47"/>
        <v>0</v>
      </c>
      <c r="R467" s="28" t="s">
        <v>22</v>
      </c>
      <c r="S467" s="21">
        <v>22701</v>
      </c>
      <c r="T467" s="18" t="s">
        <v>23</v>
      </c>
      <c r="U467" s="14"/>
    </row>
    <row r="468" spans="1:21" x14ac:dyDescent="0.2">
      <c r="A468" s="17">
        <v>466</v>
      </c>
      <c r="B468" s="18" t="s">
        <v>2050</v>
      </c>
      <c r="C468" s="19" t="s">
        <v>2051</v>
      </c>
      <c r="D468" s="20" t="s">
        <v>2052</v>
      </c>
      <c r="E468" s="21">
        <v>250000</v>
      </c>
      <c r="F468" s="20" t="s">
        <v>21</v>
      </c>
      <c r="G468" s="20" t="s">
        <v>21</v>
      </c>
      <c r="H468" s="22" t="s">
        <v>186</v>
      </c>
      <c r="I468" s="23" t="s">
        <v>34</v>
      </c>
      <c r="J468" s="24" t="s">
        <v>236</v>
      </c>
      <c r="K468" s="25">
        <f t="shared" si="43"/>
        <v>45746</v>
      </c>
      <c r="L468" s="26" t="str">
        <f t="shared" si="44"/>
        <v>Mar 25</v>
      </c>
      <c r="M468" s="26" t="str">
        <f t="shared" si="45"/>
        <v>2025</v>
      </c>
      <c r="N468" s="23" t="s">
        <v>1878</v>
      </c>
      <c r="O468" s="25">
        <f t="shared" si="48"/>
        <v>45810</v>
      </c>
      <c r="P468" s="27">
        <f t="shared" si="46"/>
        <v>2</v>
      </c>
      <c r="Q468" s="27">
        <f t="shared" si="47"/>
        <v>0</v>
      </c>
      <c r="R468" s="28" t="s">
        <v>22</v>
      </c>
      <c r="S468" s="21">
        <v>107145</v>
      </c>
      <c r="T468" s="18" t="s">
        <v>23</v>
      </c>
      <c r="U468" s="14"/>
    </row>
    <row r="469" spans="1:21" x14ac:dyDescent="0.2">
      <c r="A469" s="17">
        <v>467</v>
      </c>
      <c r="B469" s="18" t="s">
        <v>2053</v>
      </c>
      <c r="C469" s="19" t="s">
        <v>2054</v>
      </c>
      <c r="D469" s="20" t="s">
        <v>2055</v>
      </c>
      <c r="E469" s="21">
        <v>150000</v>
      </c>
      <c r="F469" s="20" t="s">
        <v>21</v>
      </c>
      <c r="G469" s="20" t="s">
        <v>21</v>
      </c>
      <c r="H469" s="22" t="s">
        <v>140</v>
      </c>
      <c r="I469" s="23" t="s">
        <v>141</v>
      </c>
      <c r="J469" s="24" t="s">
        <v>562</v>
      </c>
      <c r="K469" s="25">
        <f t="shared" si="43"/>
        <v>45724</v>
      </c>
      <c r="L469" s="26" t="str">
        <f t="shared" si="44"/>
        <v>Mar 25</v>
      </c>
      <c r="M469" s="26" t="str">
        <f t="shared" si="45"/>
        <v>2025</v>
      </c>
      <c r="N469" s="23" t="s">
        <v>536</v>
      </c>
      <c r="O469" s="25">
        <f t="shared" si="48"/>
        <v>45751</v>
      </c>
      <c r="P469" s="27">
        <f t="shared" si="46"/>
        <v>0</v>
      </c>
      <c r="Q469" s="27">
        <f t="shared" si="47"/>
        <v>0</v>
      </c>
      <c r="R469" s="28" t="s">
        <v>22</v>
      </c>
      <c r="S469" s="21">
        <v>4680</v>
      </c>
      <c r="T469" s="18" t="s">
        <v>23</v>
      </c>
      <c r="U469" s="14"/>
    </row>
    <row r="470" spans="1:21" x14ac:dyDescent="0.2">
      <c r="A470" s="17">
        <v>468</v>
      </c>
      <c r="B470" s="18" t="s">
        <v>2053</v>
      </c>
      <c r="C470" s="19" t="s">
        <v>2056</v>
      </c>
      <c r="D470" s="20" t="s">
        <v>2057</v>
      </c>
      <c r="E470" s="21">
        <v>100000</v>
      </c>
      <c r="F470" s="20" t="s">
        <v>21</v>
      </c>
      <c r="G470" s="20" t="s">
        <v>21</v>
      </c>
      <c r="H470" s="22" t="s">
        <v>140</v>
      </c>
      <c r="I470" s="23" t="s">
        <v>141</v>
      </c>
      <c r="J470" s="24" t="s">
        <v>562</v>
      </c>
      <c r="K470" s="25">
        <f t="shared" si="43"/>
        <v>45724</v>
      </c>
      <c r="L470" s="26" t="str">
        <f t="shared" si="44"/>
        <v>Mar 25</v>
      </c>
      <c r="M470" s="26" t="str">
        <f t="shared" si="45"/>
        <v>2025</v>
      </c>
      <c r="N470" s="23" t="s">
        <v>536</v>
      </c>
      <c r="O470" s="25">
        <f t="shared" si="48"/>
        <v>45751</v>
      </c>
      <c r="P470" s="27">
        <f t="shared" si="46"/>
        <v>0</v>
      </c>
      <c r="Q470" s="27">
        <f t="shared" si="47"/>
        <v>0</v>
      </c>
      <c r="R470" s="28" t="s">
        <v>22</v>
      </c>
      <c r="S470" s="21">
        <v>2250</v>
      </c>
      <c r="T470" s="18" t="s">
        <v>23</v>
      </c>
      <c r="U470" s="14"/>
    </row>
    <row r="471" spans="1:21" x14ac:dyDescent="0.2">
      <c r="A471" s="17">
        <v>469</v>
      </c>
      <c r="B471" s="18" t="s">
        <v>2058</v>
      </c>
      <c r="C471" s="19" t="s">
        <v>2059</v>
      </c>
      <c r="D471" s="20" t="s">
        <v>2060</v>
      </c>
      <c r="E471" s="21">
        <v>288000</v>
      </c>
      <c r="F471" s="20" t="s">
        <v>21</v>
      </c>
      <c r="G471" s="20" t="s">
        <v>21</v>
      </c>
      <c r="H471" s="22" t="s">
        <v>630</v>
      </c>
      <c r="I471" s="23" t="s">
        <v>2061</v>
      </c>
      <c r="J471" s="24" t="s">
        <v>826</v>
      </c>
      <c r="K471" s="25">
        <f t="shared" si="43"/>
        <v>45793</v>
      </c>
      <c r="L471" s="26" t="str">
        <f t="shared" si="44"/>
        <v>May 25</v>
      </c>
      <c r="M471" s="26" t="str">
        <f t="shared" si="45"/>
        <v>2025</v>
      </c>
      <c r="N471" s="23" t="s">
        <v>2061</v>
      </c>
      <c r="O471" s="25">
        <f t="shared" si="48"/>
        <v>46140</v>
      </c>
      <c r="P471" s="27">
        <f t="shared" si="46"/>
        <v>11</v>
      </c>
      <c r="Q471" s="27">
        <f t="shared" si="47"/>
        <v>1</v>
      </c>
      <c r="R471" s="28" t="s">
        <v>894</v>
      </c>
      <c r="S471" s="21">
        <v>0</v>
      </c>
      <c r="T471" s="18" t="s">
        <v>23</v>
      </c>
      <c r="U471" s="14"/>
    </row>
    <row r="472" spans="1:21" x14ac:dyDescent="0.2">
      <c r="A472" s="17">
        <v>470</v>
      </c>
      <c r="B472" s="18" t="s">
        <v>2062</v>
      </c>
      <c r="C472" s="19" t="s">
        <v>2063</v>
      </c>
      <c r="D472" s="20" t="s">
        <v>2064</v>
      </c>
      <c r="E472" s="21">
        <v>135000</v>
      </c>
      <c r="F472" s="20" t="s">
        <v>21</v>
      </c>
      <c r="G472" s="20" t="s">
        <v>21</v>
      </c>
      <c r="H472" s="22" t="s">
        <v>135</v>
      </c>
      <c r="I472" s="23" t="s">
        <v>635</v>
      </c>
      <c r="J472" s="24">
        <v>45811</v>
      </c>
      <c r="K472" s="25">
        <f t="shared" si="43"/>
        <v>1428813</v>
      </c>
      <c r="L472" s="26" t="str">
        <f t="shared" si="44"/>
        <v>Dec 11</v>
      </c>
      <c r="M472" s="26" t="str">
        <f t="shared" si="45"/>
        <v>5811</v>
      </c>
      <c r="N472" s="23">
        <v>45820</v>
      </c>
      <c r="O472" s="25">
        <f t="shared" si="48"/>
        <v>1432374</v>
      </c>
      <c r="P472" s="27">
        <f t="shared" si="46"/>
        <v>116</v>
      </c>
      <c r="Q472" s="27">
        <f t="shared" si="47"/>
        <v>10</v>
      </c>
      <c r="R472" s="28" t="s">
        <v>22</v>
      </c>
      <c r="S472" s="21">
        <v>21924</v>
      </c>
      <c r="T472" s="18" t="s">
        <v>23</v>
      </c>
      <c r="U472" s="14"/>
    </row>
    <row r="473" spans="1:21" x14ac:dyDescent="0.2">
      <c r="A473" s="17">
        <v>471</v>
      </c>
      <c r="B473" s="18" t="s">
        <v>2065</v>
      </c>
      <c r="C473" s="19" t="s">
        <v>2066</v>
      </c>
      <c r="D473" s="20" t="s">
        <v>2067</v>
      </c>
      <c r="E473" s="21">
        <v>150000</v>
      </c>
      <c r="F473" s="20" t="s">
        <v>21</v>
      </c>
      <c r="G473" s="20" t="s">
        <v>21</v>
      </c>
      <c r="H473" s="22" t="s">
        <v>135</v>
      </c>
      <c r="I473" s="23" t="s">
        <v>635</v>
      </c>
      <c r="J473" s="24" t="s">
        <v>536</v>
      </c>
      <c r="K473" s="25">
        <f t="shared" si="43"/>
        <v>45751</v>
      </c>
      <c r="L473" s="26" t="str">
        <f t="shared" si="44"/>
        <v>Apr 25</v>
      </c>
      <c r="M473" s="26" t="str">
        <f t="shared" si="45"/>
        <v>2025</v>
      </c>
      <c r="N473" s="23" t="s">
        <v>918</v>
      </c>
      <c r="O473" s="25">
        <f t="shared" si="48"/>
        <v>45824</v>
      </c>
      <c r="P473" s="27">
        <f t="shared" si="46"/>
        <v>2</v>
      </c>
      <c r="Q473" s="27">
        <f t="shared" si="47"/>
        <v>0</v>
      </c>
      <c r="R473" s="28" t="s">
        <v>22</v>
      </c>
      <c r="S473" s="21">
        <v>8820</v>
      </c>
      <c r="T473" s="18" t="s">
        <v>23</v>
      </c>
      <c r="U473" s="14"/>
    </row>
    <row r="474" spans="1:21" x14ac:dyDescent="0.2">
      <c r="A474" s="17">
        <v>472</v>
      </c>
      <c r="B474" s="18" t="s">
        <v>2068</v>
      </c>
      <c r="C474" s="19" t="s">
        <v>2069</v>
      </c>
      <c r="D474" s="20" t="s">
        <v>2070</v>
      </c>
      <c r="E474" s="21">
        <v>150000</v>
      </c>
      <c r="F474" s="20" t="s">
        <v>21</v>
      </c>
      <c r="G474" s="20" t="s">
        <v>21</v>
      </c>
      <c r="H474" s="22" t="s">
        <v>219</v>
      </c>
      <c r="I474" s="23" t="s">
        <v>2071</v>
      </c>
      <c r="J474" s="24" t="s">
        <v>582</v>
      </c>
      <c r="K474" s="25">
        <f t="shared" si="43"/>
        <v>45757</v>
      </c>
      <c r="L474" s="26" t="str">
        <f t="shared" si="44"/>
        <v>Apr 25</v>
      </c>
      <c r="M474" s="26" t="str">
        <f t="shared" si="45"/>
        <v>2025</v>
      </c>
      <c r="N474" s="23" t="s">
        <v>1071</v>
      </c>
      <c r="O474" s="25">
        <f t="shared" si="48"/>
        <v>45825</v>
      </c>
      <c r="P474" s="27">
        <f t="shared" si="46"/>
        <v>2</v>
      </c>
      <c r="Q474" s="27">
        <f t="shared" si="47"/>
        <v>0</v>
      </c>
      <c r="R474" s="28" t="s">
        <v>22</v>
      </c>
      <c r="S474" s="21">
        <v>6300</v>
      </c>
      <c r="T474" s="18" t="s">
        <v>23</v>
      </c>
      <c r="U474" s="14"/>
    </row>
    <row r="475" spans="1:21" x14ac:dyDescent="0.2">
      <c r="A475" s="17">
        <v>473</v>
      </c>
      <c r="B475" s="18" t="s">
        <v>2072</v>
      </c>
      <c r="C475" s="19" t="s">
        <v>2073</v>
      </c>
      <c r="D475" s="20" t="s">
        <v>2074</v>
      </c>
      <c r="E475" s="21" t="s">
        <v>2075</v>
      </c>
      <c r="F475" s="20" t="s">
        <v>21</v>
      </c>
      <c r="G475" s="20" t="s">
        <v>21</v>
      </c>
      <c r="H475" s="22" t="s">
        <v>140</v>
      </c>
      <c r="I475" s="23" t="s">
        <v>510</v>
      </c>
      <c r="J475" s="24" t="s">
        <v>2076</v>
      </c>
      <c r="K475" s="25">
        <f t="shared" si="43"/>
        <v>8</v>
      </c>
      <c r="L475" s="26" t="str">
        <f t="shared" si="44"/>
        <v>Jan 00</v>
      </c>
      <c r="M475" s="26" t="str">
        <f t="shared" si="45"/>
        <v>1900</v>
      </c>
      <c r="N475" s="23" t="s">
        <v>142</v>
      </c>
      <c r="O475" s="25">
        <f t="shared" si="48"/>
        <v>45665</v>
      </c>
      <c r="P475" s="27">
        <f t="shared" si="46"/>
        <v>1500</v>
      </c>
      <c r="Q475" s="27">
        <f t="shared" si="47"/>
        <v>125</v>
      </c>
      <c r="R475" s="28" t="s">
        <v>22</v>
      </c>
      <c r="S475" s="21">
        <v>3240</v>
      </c>
      <c r="T475" s="18" t="s">
        <v>23</v>
      </c>
      <c r="U475" s="14"/>
    </row>
    <row r="476" spans="1:21" x14ac:dyDescent="0.2">
      <c r="A476" s="17">
        <v>474</v>
      </c>
      <c r="B476" s="18" t="s">
        <v>2077</v>
      </c>
      <c r="C476" s="19" t="s">
        <v>2078</v>
      </c>
      <c r="D476" s="20" t="s">
        <v>2079</v>
      </c>
      <c r="E476" s="21">
        <v>150000</v>
      </c>
      <c r="F476" s="20" t="s">
        <v>21</v>
      </c>
      <c r="G476" s="20" t="s">
        <v>21</v>
      </c>
      <c r="H476" s="22" t="s">
        <v>177</v>
      </c>
      <c r="I476" s="23" t="s">
        <v>98</v>
      </c>
      <c r="J476" s="24" t="s">
        <v>237</v>
      </c>
      <c r="K476" s="25">
        <f t="shared" si="43"/>
        <v>45655</v>
      </c>
      <c r="L476" s="26" t="str">
        <f t="shared" si="44"/>
        <v>Dec 24</v>
      </c>
      <c r="M476" s="26" t="str">
        <f t="shared" si="45"/>
        <v>2024</v>
      </c>
      <c r="N476" s="23" t="s">
        <v>1290</v>
      </c>
      <c r="O476" s="25">
        <f t="shared" si="48"/>
        <v>45903</v>
      </c>
      <c r="P476" s="27">
        <f t="shared" si="46"/>
        <v>8</v>
      </c>
      <c r="Q476" s="27">
        <f t="shared" si="47"/>
        <v>1</v>
      </c>
      <c r="R476" s="18" t="s">
        <v>22</v>
      </c>
      <c r="S476" s="21">
        <v>2880</v>
      </c>
      <c r="T476" s="18" t="s">
        <v>23</v>
      </c>
      <c r="U476" s="14"/>
    </row>
    <row r="477" spans="1:21" x14ac:dyDescent="0.2">
      <c r="A477" s="17">
        <v>475</v>
      </c>
      <c r="B477" s="18" t="s">
        <v>2080</v>
      </c>
      <c r="C477" s="19" t="s">
        <v>2081</v>
      </c>
      <c r="D477" s="20" t="s">
        <v>2079</v>
      </c>
      <c r="E477" s="21">
        <v>100000</v>
      </c>
      <c r="F477" s="20" t="s">
        <v>21</v>
      </c>
      <c r="G477" s="20" t="s">
        <v>21</v>
      </c>
      <c r="H477" s="22" t="s">
        <v>177</v>
      </c>
      <c r="I477" s="23" t="s">
        <v>98</v>
      </c>
      <c r="J477" s="24" t="s">
        <v>237</v>
      </c>
      <c r="K477" s="25">
        <f t="shared" si="43"/>
        <v>45655</v>
      </c>
      <c r="L477" s="26" t="str">
        <f t="shared" si="44"/>
        <v>Dec 24</v>
      </c>
      <c r="M477" s="26" t="str">
        <f t="shared" si="45"/>
        <v>2024</v>
      </c>
      <c r="N477" s="23" t="s">
        <v>1098</v>
      </c>
      <c r="O477" s="25">
        <f t="shared" si="48"/>
        <v>45854</v>
      </c>
      <c r="P477" s="27">
        <f t="shared" si="46"/>
        <v>6</v>
      </c>
      <c r="Q477" s="27">
        <f t="shared" si="47"/>
        <v>1</v>
      </c>
      <c r="R477" s="28" t="s">
        <v>22</v>
      </c>
      <c r="S477" s="21">
        <v>2880</v>
      </c>
      <c r="T477" s="18" t="s">
        <v>23</v>
      </c>
      <c r="U477" s="14"/>
    </row>
    <row r="478" spans="1:21" x14ac:dyDescent="0.2">
      <c r="A478" s="17">
        <v>476</v>
      </c>
      <c r="B478" s="18" t="s">
        <v>2082</v>
      </c>
      <c r="C478" s="19" t="s">
        <v>2083</v>
      </c>
      <c r="D478" s="20" t="s">
        <v>2084</v>
      </c>
      <c r="E478" s="21">
        <v>120000</v>
      </c>
      <c r="F478" s="20" t="s">
        <v>21</v>
      </c>
      <c r="G478" s="20" t="s">
        <v>21</v>
      </c>
      <c r="H478" s="22" t="s">
        <v>2085</v>
      </c>
      <c r="I478" s="23" t="s">
        <v>304</v>
      </c>
      <c r="J478" s="24" t="s">
        <v>1013</v>
      </c>
      <c r="K478" s="25">
        <f t="shared" si="43"/>
        <v>45842</v>
      </c>
      <c r="L478" s="26" t="str">
        <f t="shared" si="44"/>
        <v>Jul 25</v>
      </c>
      <c r="M478" s="26" t="str">
        <f t="shared" si="45"/>
        <v>2025</v>
      </c>
      <c r="N478" s="23" t="s">
        <v>1023</v>
      </c>
      <c r="O478" s="25">
        <f t="shared" si="48"/>
        <v>45855</v>
      </c>
      <c r="P478" s="27">
        <f t="shared" si="46"/>
        <v>0</v>
      </c>
      <c r="Q478" s="27">
        <f t="shared" si="47"/>
        <v>0</v>
      </c>
      <c r="R478" s="28" t="s">
        <v>22</v>
      </c>
      <c r="S478" s="21">
        <v>5115.6000000000004</v>
      </c>
      <c r="T478" s="18" t="s">
        <v>23</v>
      </c>
      <c r="U478" s="14"/>
    </row>
    <row r="479" spans="1:21" x14ac:dyDescent="0.2">
      <c r="A479" s="17">
        <v>477</v>
      </c>
      <c r="B479" s="18" t="s">
        <v>2086</v>
      </c>
      <c r="C479" s="19" t="s">
        <v>2087</v>
      </c>
      <c r="D479" s="20" t="s">
        <v>2088</v>
      </c>
      <c r="E479" s="21">
        <v>300000</v>
      </c>
      <c r="F479" s="20" t="s">
        <v>21</v>
      </c>
      <c r="G479" s="20" t="s">
        <v>21</v>
      </c>
      <c r="H479" s="22" t="s">
        <v>826</v>
      </c>
      <c r="I479" s="23" t="s">
        <v>2089</v>
      </c>
      <c r="J479" s="24" t="s">
        <v>151</v>
      </c>
      <c r="K479" s="25">
        <f t="shared" si="43"/>
        <v>45862</v>
      </c>
      <c r="L479" s="26" t="str">
        <f t="shared" si="44"/>
        <v>Jul 25</v>
      </c>
      <c r="M479" s="26" t="str">
        <f t="shared" si="45"/>
        <v>2025</v>
      </c>
      <c r="N479" s="23" t="s">
        <v>2089</v>
      </c>
      <c r="O479" s="25">
        <f t="shared" si="48"/>
        <v>46157</v>
      </c>
      <c r="P479" s="27">
        <f t="shared" si="46"/>
        <v>9</v>
      </c>
      <c r="Q479" s="27">
        <f t="shared" si="47"/>
        <v>1</v>
      </c>
      <c r="R479" s="28" t="s">
        <v>22</v>
      </c>
      <c r="S479" s="21">
        <v>3250</v>
      </c>
      <c r="T479" s="18" t="s">
        <v>23</v>
      </c>
      <c r="U479" s="14"/>
    </row>
    <row r="480" spans="1:21" x14ac:dyDescent="0.2">
      <c r="A480" s="17">
        <v>478</v>
      </c>
      <c r="B480" s="18" t="s">
        <v>2090</v>
      </c>
      <c r="C480" s="19" t="s">
        <v>2091</v>
      </c>
      <c r="D480" s="20" t="s">
        <v>2088</v>
      </c>
      <c r="E480" s="21">
        <v>100000</v>
      </c>
      <c r="F480" s="20" t="s">
        <v>21</v>
      </c>
      <c r="G480" s="20" t="s">
        <v>21</v>
      </c>
      <c r="H480" s="22" t="s">
        <v>207</v>
      </c>
      <c r="I480" s="23" t="s">
        <v>1995</v>
      </c>
      <c r="J480" s="24" t="s">
        <v>1631</v>
      </c>
      <c r="K480" s="25">
        <f t="shared" si="43"/>
        <v>45982</v>
      </c>
      <c r="L480" s="26" t="str">
        <f t="shared" si="44"/>
        <v>Nov 25</v>
      </c>
      <c r="M480" s="26" t="str">
        <f t="shared" si="45"/>
        <v>2025</v>
      </c>
      <c r="N480" s="23" t="s">
        <v>1626</v>
      </c>
      <c r="O480" s="25">
        <f t="shared" si="48"/>
        <v>45985</v>
      </c>
      <c r="P480" s="27">
        <f t="shared" si="46"/>
        <v>0</v>
      </c>
      <c r="Q480" s="27">
        <f t="shared" si="47"/>
        <v>0</v>
      </c>
      <c r="R480" s="28" t="s">
        <v>65</v>
      </c>
      <c r="S480" s="21">
        <v>2050</v>
      </c>
      <c r="T480" s="18" t="s">
        <v>23</v>
      </c>
      <c r="U480" s="14"/>
    </row>
    <row r="481" spans="1:21" x14ac:dyDescent="0.2">
      <c r="A481" s="17">
        <v>479</v>
      </c>
      <c r="B481" s="18" t="s">
        <v>2092</v>
      </c>
      <c r="C481" s="19" t="s">
        <v>2093</v>
      </c>
      <c r="D481" s="20" t="s">
        <v>2094</v>
      </c>
      <c r="E481" s="21">
        <v>90000</v>
      </c>
      <c r="F481" s="20"/>
      <c r="G481" s="20"/>
      <c r="H481" s="22">
        <v>45308</v>
      </c>
      <c r="I481" s="23">
        <v>45946</v>
      </c>
      <c r="J481" s="24">
        <v>45864</v>
      </c>
      <c r="K481" s="25">
        <f t="shared" si="43"/>
        <v>1449784</v>
      </c>
      <c r="L481" s="26" t="str">
        <f t="shared" si="44"/>
        <v>May 69</v>
      </c>
      <c r="M481" s="26" t="str">
        <f t="shared" si="45"/>
        <v>5869</v>
      </c>
      <c r="N481" s="23" t="s">
        <v>629</v>
      </c>
      <c r="O481" s="25">
        <f t="shared" si="48"/>
        <v>45911</v>
      </c>
      <c r="P481" s="27" t="e">
        <f t="shared" si="46"/>
        <v>#NUM!</v>
      </c>
      <c r="Q481" s="27">
        <f t="shared" si="47"/>
        <v>-3844</v>
      </c>
      <c r="R481" s="28" t="s">
        <v>1646</v>
      </c>
      <c r="S481" s="21">
        <v>13950</v>
      </c>
      <c r="T481" s="18" t="s">
        <v>23</v>
      </c>
      <c r="U481" s="14"/>
    </row>
    <row r="482" spans="1:21" x14ac:dyDescent="0.2">
      <c r="A482" s="17">
        <v>480</v>
      </c>
      <c r="B482" s="18" t="s">
        <v>2095</v>
      </c>
      <c r="C482" s="19" t="s">
        <v>2096</v>
      </c>
      <c r="D482" s="20" t="s">
        <v>2097</v>
      </c>
      <c r="E482" s="21">
        <v>120000</v>
      </c>
      <c r="F482" s="20" t="s">
        <v>21</v>
      </c>
      <c r="G482" s="20" t="s">
        <v>21</v>
      </c>
      <c r="H482" s="22" t="s">
        <v>398</v>
      </c>
      <c r="I482" s="23" t="s">
        <v>199</v>
      </c>
      <c r="J482" s="24" t="s">
        <v>1302</v>
      </c>
      <c r="K482" s="25">
        <f t="shared" si="43"/>
        <v>45878</v>
      </c>
      <c r="L482" s="26" t="str">
        <f t="shared" si="44"/>
        <v>Aug 25</v>
      </c>
      <c r="M482" s="26" t="str">
        <f t="shared" si="45"/>
        <v>2025</v>
      </c>
      <c r="N482" s="23" t="s">
        <v>1220</v>
      </c>
      <c r="O482" s="25">
        <f t="shared" si="48"/>
        <v>45889</v>
      </c>
      <c r="P482" s="27">
        <f t="shared" si="46"/>
        <v>0</v>
      </c>
      <c r="Q482" s="27">
        <f t="shared" si="47"/>
        <v>0</v>
      </c>
      <c r="R482" s="28" t="s">
        <v>22</v>
      </c>
      <c r="S482" s="21">
        <v>74400</v>
      </c>
      <c r="T482" s="18" t="s">
        <v>23</v>
      </c>
      <c r="U482" s="14"/>
    </row>
    <row r="483" spans="1:21" x14ac:dyDescent="0.2">
      <c r="A483" s="17">
        <v>481</v>
      </c>
      <c r="B483" s="18" t="s">
        <v>2098</v>
      </c>
      <c r="C483" s="19" t="s">
        <v>2099</v>
      </c>
      <c r="D483" s="20" t="s">
        <v>2100</v>
      </c>
      <c r="E483" s="21">
        <v>160000</v>
      </c>
      <c r="F483" s="20" t="s">
        <v>21</v>
      </c>
      <c r="G483" s="20" t="s">
        <v>21</v>
      </c>
      <c r="H483" s="22" t="s">
        <v>2101</v>
      </c>
      <c r="I483" s="23" t="s">
        <v>1031</v>
      </c>
      <c r="J483" s="24" t="s">
        <v>1387</v>
      </c>
      <c r="K483" s="25">
        <f t="shared" si="43"/>
        <v>45910</v>
      </c>
      <c r="L483" s="26" t="str">
        <f t="shared" si="44"/>
        <v>Sep 25</v>
      </c>
      <c r="M483" s="26" t="str">
        <f t="shared" si="45"/>
        <v>2025</v>
      </c>
      <c r="N483" s="23" t="s">
        <v>85</v>
      </c>
      <c r="O483" s="25">
        <f t="shared" si="48"/>
        <v>45939</v>
      </c>
      <c r="P483" s="27">
        <f t="shared" si="46"/>
        <v>0</v>
      </c>
      <c r="Q483" s="27">
        <f t="shared" si="47"/>
        <v>0</v>
      </c>
      <c r="R483" s="28" t="s">
        <v>65</v>
      </c>
      <c r="S483" s="21">
        <v>9719.64</v>
      </c>
      <c r="T483" s="18" t="s">
        <v>23</v>
      </c>
      <c r="U483" s="14"/>
    </row>
    <row r="484" spans="1:21" x14ac:dyDescent="0.2">
      <c r="A484" s="17">
        <v>482</v>
      </c>
      <c r="B484" s="18" t="s">
        <v>2102</v>
      </c>
      <c r="C484" s="19" t="s">
        <v>2103</v>
      </c>
      <c r="D484" s="20" t="s">
        <v>2104</v>
      </c>
      <c r="E484" s="21">
        <v>160000</v>
      </c>
      <c r="F484" s="20" t="s">
        <v>21</v>
      </c>
      <c r="G484" s="20" t="s">
        <v>21</v>
      </c>
      <c r="H484" s="22" t="s">
        <v>1211</v>
      </c>
      <c r="I484" s="23" t="s">
        <v>281</v>
      </c>
      <c r="J484" s="24" t="s">
        <v>1362</v>
      </c>
      <c r="K484" s="25">
        <f t="shared" si="43"/>
        <v>45908</v>
      </c>
      <c r="L484" s="26" t="str">
        <f t="shared" si="44"/>
        <v>Sep 25</v>
      </c>
      <c r="M484" s="26" t="str">
        <f t="shared" si="45"/>
        <v>2025</v>
      </c>
      <c r="N484" s="23" t="s">
        <v>1332</v>
      </c>
      <c r="O484" s="25">
        <f t="shared" si="48"/>
        <v>45909</v>
      </c>
      <c r="P484" s="27">
        <f t="shared" si="46"/>
        <v>0</v>
      </c>
      <c r="Q484" s="27">
        <f t="shared" si="47"/>
        <v>0</v>
      </c>
      <c r="R484" s="28" t="s">
        <v>65</v>
      </c>
      <c r="S484" s="21">
        <v>22590</v>
      </c>
      <c r="T484" s="18" t="s">
        <v>23</v>
      </c>
      <c r="U484" s="14"/>
    </row>
    <row r="485" spans="1:21" x14ac:dyDescent="0.2">
      <c r="A485" s="17">
        <v>483</v>
      </c>
      <c r="B485" s="18" t="s">
        <v>2105</v>
      </c>
      <c r="C485" s="19" t="s">
        <v>2106</v>
      </c>
      <c r="D485" s="20" t="s">
        <v>2107</v>
      </c>
      <c r="E485" s="21">
        <v>80000</v>
      </c>
      <c r="F485" s="20" t="s">
        <v>21</v>
      </c>
      <c r="G485" s="20" t="s">
        <v>21</v>
      </c>
      <c r="H485" s="22" t="s">
        <v>187</v>
      </c>
      <c r="I485" s="23" t="s">
        <v>2108</v>
      </c>
      <c r="J485" s="24" t="s">
        <v>1382</v>
      </c>
      <c r="K485" s="25">
        <f t="shared" si="43"/>
        <v>45924</v>
      </c>
      <c r="L485" s="26" t="str">
        <f t="shared" si="44"/>
        <v>Sep 25</v>
      </c>
      <c r="M485" s="26" t="str">
        <f t="shared" si="45"/>
        <v>2025</v>
      </c>
      <c r="N485" s="23" t="s">
        <v>298</v>
      </c>
      <c r="O485" s="25">
        <f t="shared" si="48"/>
        <v>45936</v>
      </c>
      <c r="P485" s="27">
        <f t="shared" si="46"/>
        <v>0</v>
      </c>
      <c r="Q485" s="27">
        <f t="shared" si="47"/>
        <v>0</v>
      </c>
      <c r="R485" s="28" t="s">
        <v>22</v>
      </c>
      <c r="S485" s="21">
        <v>64000</v>
      </c>
      <c r="T485" s="18" t="s">
        <v>23</v>
      </c>
      <c r="U485" s="14"/>
    </row>
    <row r="486" spans="1:21" x14ac:dyDescent="0.2">
      <c r="A486" s="17">
        <v>484</v>
      </c>
      <c r="B486" s="18" t="s">
        <v>2109</v>
      </c>
      <c r="C486" s="19" t="s">
        <v>2110</v>
      </c>
      <c r="D486" s="20" t="s">
        <v>2111</v>
      </c>
      <c r="E486" s="21">
        <v>363840</v>
      </c>
      <c r="F486" s="20" t="s">
        <v>21</v>
      </c>
      <c r="G486" s="20" t="s">
        <v>21</v>
      </c>
      <c r="H486" s="22" t="s">
        <v>110</v>
      </c>
      <c r="I486" s="23" t="s">
        <v>111</v>
      </c>
      <c r="J486" s="24" t="s">
        <v>47</v>
      </c>
      <c r="K486" s="25">
        <f t="shared" si="43"/>
        <v>45922</v>
      </c>
      <c r="L486" s="26" t="str">
        <f t="shared" si="44"/>
        <v>Sep 25</v>
      </c>
      <c r="M486" s="26" t="str">
        <f t="shared" si="45"/>
        <v>2025</v>
      </c>
      <c r="N486" s="23" t="s">
        <v>1477</v>
      </c>
      <c r="O486" s="25">
        <f t="shared" si="48"/>
        <v>45943</v>
      </c>
      <c r="P486" s="27">
        <f t="shared" si="46"/>
        <v>0</v>
      </c>
      <c r="Q486" s="27">
        <f t="shared" si="47"/>
        <v>0</v>
      </c>
      <c r="R486" s="28" t="s">
        <v>22</v>
      </c>
      <c r="S486" s="21">
        <v>28437.13</v>
      </c>
      <c r="T486" s="18" t="s">
        <v>23</v>
      </c>
      <c r="U486" s="14"/>
    </row>
    <row r="487" spans="1:21" x14ac:dyDescent="0.2">
      <c r="A487" s="17">
        <v>485</v>
      </c>
      <c r="B487" s="18" t="s">
        <v>2112</v>
      </c>
      <c r="C487" s="19" t="s">
        <v>2113</v>
      </c>
      <c r="D487" s="20" t="s">
        <v>2114</v>
      </c>
      <c r="E487" s="21">
        <v>50000</v>
      </c>
      <c r="F487" s="20" t="s">
        <v>21</v>
      </c>
      <c r="G487" s="20" t="s">
        <v>21</v>
      </c>
      <c r="H487" s="22" t="s">
        <v>368</v>
      </c>
      <c r="I487" s="23" t="s">
        <v>369</v>
      </c>
      <c r="J487" s="24" t="s">
        <v>2115</v>
      </c>
      <c r="K487" s="25">
        <f t="shared" si="43"/>
        <v>45916</v>
      </c>
      <c r="L487" s="26" t="str">
        <f t="shared" si="44"/>
        <v>Sep 25</v>
      </c>
      <c r="M487" s="26" t="str">
        <f t="shared" si="45"/>
        <v>2025</v>
      </c>
      <c r="N487" s="23" t="s">
        <v>1591</v>
      </c>
      <c r="O487" s="25">
        <f t="shared" si="48"/>
        <v>45962</v>
      </c>
      <c r="P487" s="27">
        <f t="shared" si="46"/>
        <v>1</v>
      </c>
      <c r="Q487" s="27">
        <f t="shared" si="47"/>
        <v>0</v>
      </c>
      <c r="R487" s="28" t="s">
        <v>22</v>
      </c>
      <c r="S487" s="21">
        <v>2700</v>
      </c>
      <c r="T487" s="18" t="s">
        <v>23</v>
      </c>
      <c r="U487" s="14"/>
    </row>
    <row r="488" spans="1:21" x14ac:dyDescent="0.2">
      <c r="A488" s="17">
        <v>486</v>
      </c>
      <c r="B488" s="18" t="s">
        <v>2116</v>
      </c>
      <c r="C488" s="19" t="s">
        <v>2117</v>
      </c>
      <c r="D488" s="20" t="s">
        <v>2118</v>
      </c>
      <c r="E488" s="21">
        <v>100000</v>
      </c>
      <c r="F488" s="20" t="s">
        <v>21</v>
      </c>
      <c r="G488" s="20" t="s">
        <v>21</v>
      </c>
      <c r="H488" s="22" t="s">
        <v>1625</v>
      </c>
      <c r="I488" s="23" t="s">
        <v>1092</v>
      </c>
      <c r="J488" s="24" t="s">
        <v>1591</v>
      </c>
      <c r="K488" s="25">
        <f t="shared" si="43"/>
        <v>45962</v>
      </c>
      <c r="L488" s="26" t="str">
        <f t="shared" si="44"/>
        <v>Nov 25</v>
      </c>
      <c r="M488" s="26" t="str">
        <f t="shared" si="45"/>
        <v>2025</v>
      </c>
      <c r="N488" s="23" t="s">
        <v>1591</v>
      </c>
      <c r="O488" s="25">
        <f t="shared" si="48"/>
        <v>45962</v>
      </c>
      <c r="P488" s="27">
        <f t="shared" si="46"/>
        <v>0</v>
      </c>
      <c r="Q488" s="27">
        <f t="shared" si="47"/>
        <v>0</v>
      </c>
      <c r="R488" s="28" t="s">
        <v>1501</v>
      </c>
      <c r="S488" s="21">
        <v>13569.71</v>
      </c>
      <c r="T488" s="18" t="s">
        <v>23</v>
      </c>
      <c r="U488" s="14"/>
    </row>
    <row r="489" spans="1:21" x14ac:dyDescent="0.2">
      <c r="A489" s="17">
        <v>487</v>
      </c>
      <c r="B489" s="18" t="s">
        <v>2119</v>
      </c>
      <c r="C489" s="19" t="s">
        <v>2120</v>
      </c>
      <c r="D489" s="20" t="s">
        <v>2121</v>
      </c>
      <c r="E489" s="21">
        <v>80000</v>
      </c>
      <c r="F489" s="20" t="s">
        <v>21</v>
      </c>
      <c r="G489" s="20" t="s">
        <v>21</v>
      </c>
      <c r="H489" s="22" t="s">
        <v>997</v>
      </c>
      <c r="I489" s="23" t="s">
        <v>2122</v>
      </c>
      <c r="J489" s="24" t="s">
        <v>962</v>
      </c>
      <c r="K489" s="25">
        <f t="shared" si="43"/>
        <v>45831</v>
      </c>
      <c r="L489" s="26" t="str">
        <f t="shared" si="44"/>
        <v>Jun 25</v>
      </c>
      <c r="M489" s="26" t="str">
        <f t="shared" si="45"/>
        <v>2025</v>
      </c>
      <c r="N489" s="23" t="s">
        <v>1794</v>
      </c>
      <c r="O489" s="25">
        <f t="shared" si="48"/>
        <v>45983</v>
      </c>
      <c r="P489" s="27">
        <f t="shared" si="46"/>
        <v>4</v>
      </c>
      <c r="Q489" s="27">
        <f t="shared" si="47"/>
        <v>0</v>
      </c>
      <c r="R489" s="28" t="s">
        <v>894</v>
      </c>
      <c r="S489" s="21">
        <v>0</v>
      </c>
      <c r="T489" s="18" t="s">
        <v>23</v>
      </c>
      <c r="U489" s="14"/>
    </row>
    <row r="490" spans="1:21" x14ac:dyDescent="0.2">
      <c r="A490" s="17">
        <v>488</v>
      </c>
      <c r="B490" s="18" t="s">
        <v>2123</v>
      </c>
      <c r="C490" s="19" t="s">
        <v>2124</v>
      </c>
      <c r="D490" s="20" t="s">
        <v>2125</v>
      </c>
      <c r="E490" s="21">
        <v>250000</v>
      </c>
      <c r="F490" s="20" t="s">
        <v>21</v>
      </c>
      <c r="G490" s="20" t="s">
        <v>21</v>
      </c>
      <c r="H490" s="22" t="s">
        <v>106</v>
      </c>
      <c r="I490" s="23" t="s">
        <v>2126</v>
      </c>
      <c r="J490" s="24" t="s">
        <v>2127</v>
      </c>
      <c r="K490" s="25">
        <f t="shared" si="43"/>
        <v>45977</v>
      </c>
      <c r="L490" s="26" t="str">
        <f t="shared" si="44"/>
        <v>Nov 25</v>
      </c>
      <c r="M490" s="26" t="str">
        <f t="shared" si="45"/>
        <v>2025</v>
      </c>
      <c r="N490" s="23" t="s">
        <v>1601</v>
      </c>
      <c r="O490" s="25">
        <f t="shared" si="48"/>
        <v>45978</v>
      </c>
      <c r="P490" s="27">
        <f t="shared" si="46"/>
        <v>0</v>
      </c>
      <c r="Q490" s="27">
        <f t="shared" si="47"/>
        <v>0</v>
      </c>
      <c r="R490" s="28" t="s">
        <v>65</v>
      </c>
      <c r="S490" s="21">
        <v>28250.639999999999</v>
      </c>
      <c r="T490" s="18" t="s">
        <v>23</v>
      </c>
      <c r="U490" s="14"/>
    </row>
    <row r="491" spans="1:21" x14ac:dyDescent="0.2">
      <c r="A491" s="17">
        <v>489</v>
      </c>
      <c r="B491" s="18" t="s">
        <v>2128</v>
      </c>
      <c r="C491" s="19" t="s">
        <v>2129</v>
      </c>
      <c r="D491" s="20" t="s">
        <v>2130</v>
      </c>
      <c r="E491" s="21">
        <v>120000</v>
      </c>
      <c r="F491" s="20" t="s">
        <v>21</v>
      </c>
      <c r="G491" s="20" t="s">
        <v>21</v>
      </c>
      <c r="H491" s="22" t="s">
        <v>118</v>
      </c>
      <c r="I491" s="23" t="s">
        <v>111</v>
      </c>
      <c r="J491" s="24" t="s">
        <v>2131</v>
      </c>
      <c r="K491" s="25">
        <f t="shared" si="43"/>
        <v>45966</v>
      </c>
      <c r="L491" s="26" t="str">
        <f t="shared" si="44"/>
        <v>Nov 25</v>
      </c>
      <c r="M491" s="26" t="str">
        <f t="shared" si="45"/>
        <v>2025</v>
      </c>
      <c r="N491" s="23" t="s">
        <v>63</v>
      </c>
      <c r="O491" s="25">
        <f t="shared" si="48"/>
        <v>46003</v>
      </c>
      <c r="P491" s="27">
        <f t="shared" si="46"/>
        <v>1</v>
      </c>
      <c r="Q491" s="27">
        <f t="shared" si="47"/>
        <v>0</v>
      </c>
      <c r="R491" s="28" t="s">
        <v>1729</v>
      </c>
      <c r="S491" s="21">
        <v>23396</v>
      </c>
      <c r="T491" s="18" t="s">
        <v>23</v>
      </c>
      <c r="U491" s="14"/>
    </row>
    <row r="492" spans="1:21" x14ac:dyDescent="0.2">
      <c r="A492" s="17">
        <v>490</v>
      </c>
      <c r="B492" s="18" t="s">
        <v>2132</v>
      </c>
      <c r="C492" s="19" t="s">
        <v>2133</v>
      </c>
      <c r="D492" s="20" t="s">
        <v>2134</v>
      </c>
      <c r="E492" s="21">
        <v>30000</v>
      </c>
      <c r="F492" s="20" t="s">
        <v>21</v>
      </c>
      <c r="G492" s="20" t="s">
        <v>21</v>
      </c>
      <c r="H492" s="22" t="s">
        <v>403</v>
      </c>
      <c r="I492" s="23" t="s">
        <v>2135</v>
      </c>
      <c r="J492" s="24" t="s">
        <v>1723</v>
      </c>
      <c r="K492" s="25">
        <f t="shared" si="43"/>
        <v>45998</v>
      </c>
      <c r="L492" s="26" t="str">
        <f t="shared" si="44"/>
        <v>Dec 25</v>
      </c>
      <c r="M492" s="26" t="str">
        <f t="shared" si="45"/>
        <v>2025</v>
      </c>
      <c r="N492" s="23" t="s">
        <v>64</v>
      </c>
      <c r="O492" s="25">
        <f t="shared" si="48"/>
        <v>46017</v>
      </c>
      <c r="P492" s="27">
        <f t="shared" si="46"/>
        <v>0</v>
      </c>
      <c r="Q492" s="27">
        <f t="shared" si="47"/>
        <v>0</v>
      </c>
      <c r="R492" s="28" t="s">
        <v>37</v>
      </c>
      <c r="S492" s="21">
        <v>46400</v>
      </c>
      <c r="T492" s="18" t="s">
        <v>23</v>
      </c>
      <c r="U492" s="14"/>
    </row>
    <row r="493" spans="1:21" x14ac:dyDescent="0.2">
      <c r="A493" s="17">
        <v>491</v>
      </c>
      <c r="B493" s="18" t="s">
        <v>2136</v>
      </c>
      <c r="C493" s="19" t="s">
        <v>2137</v>
      </c>
      <c r="D493" s="20" t="s">
        <v>2138</v>
      </c>
      <c r="E493" s="21" t="s">
        <v>2139</v>
      </c>
      <c r="F493" s="20" t="s">
        <v>21</v>
      </c>
      <c r="G493" s="20" t="s">
        <v>21</v>
      </c>
      <c r="H493" s="22" t="s">
        <v>369</v>
      </c>
      <c r="I493" s="23" t="s">
        <v>303</v>
      </c>
      <c r="J493" s="24" t="s">
        <v>2140</v>
      </c>
      <c r="K493" s="25">
        <f t="shared" si="43"/>
        <v>45505</v>
      </c>
      <c r="L493" s="26" t="str">
        <f t="shared" si="44"/>
        <v>Aug 24</v>
      </c>
      <c r="M493" s="26" t="str">
        <f t="shared" si="45"/>
        <v>2024</v>
      </c>
      <c r="N493" s="23" t="s">
        <v>2140</v>
      </c>
      <c r="O493" s="25">
        <f t="shared" si="48"/>
        <v>45505</v>
      </c>
      <c r="P493" s="27">
        <f t="shared" si="46"/>
        <v>0</v>
      </c>
      <c r="Q493" s="27">
        <f t="shared" si="47"/>
        <v>0</v>
      </c>
      <c r="R493" s="28" t="s">
        <v>22</v>
      </c>
      <c r="S493" s="21"/>
      <c r="T493" s="18" t="s">
        <v>23</v>
      </c>
      <c r="U493" s="14"/>
    </row>
    <row r="494" spans="1:21" x14ac:dyDescent="0.2">
      <c r="A494" s="17">
        <v>492</v>
      </c>
      <c r="B494" s="18" t="s">
        <v>2141</v>
      </c>
      <c r="C494" s="19" t="s">
        <v>2142</v>
      </c>
      <c r="D494" s="20" t="s">
        <v>2143</v>
      </c>
      <c r="E494" s="21" t="s">
        <v>2144</v>
      </c>
      <c r="F494" s="20" t="s">
        <v>21</v>
      </c>
      <c r="G494" s="20" t="s">
        <v>21</v>
      </c>
      <c r="H494" s="22" t="s">
        <v>140</v>
      </c>
      <c r="I494" s="23" t="s">
        <v>141</v>
      </c>
      <c r="J494" s="24" t="s">
        <v>1871</v>
      </c>
      <c r="K494" s="25">
        <f t="shared" si="43"/>
        <v>45697</v>
      </c>
      <c r="L494" s="26" t="str">
        <f t="shared" si="44"/>
        <v>Feb 25</v>
      </c>
      <c r="M494" s="26" t="str">
        <f t="shared" si="45"/>
        <v>2025</v>
      </c>
      <c r="N494" s="23" t="s">
        <v>288</v>
      </c>
      <c r="O494" s="25">
        <f t="shared" si="48"/>
        <v>45700</v>
      </c>
      <c r="P494" s="27">
        <f t="shared" si="46"/>
        <v>0</v>
      </c>
      <c r="Q494" s="27">
        <f t="shared" si="47"/>
        <v>0</v>
      </c>
      <c r="R494" s="28" t="s">
        <v>22</v>
      </c>
      <c r="S494" s="21">
        <v>6994.95</v>
      </c>
      <c r="T494" s="18" t="s">
        <v>23</v>
      </c>
      <c r="U494" s="14"/>
    </row>
    <row r="495" spans="1:21" x14ac:dyDescent="0.2">
      <c r="A495" s="17">
        <v>493</v>
      </c>
      <c r="B495" s="18" t="s">
        <v>2145</v>
      </c>
      <c r="C495" s="19" t="s">
        <v>2146</v>
      </c>
      <c r="D495" s="20" t="s">
        <v>2147</v>
      </c>
      <c r="E495" s="21" t="s">
        <v>2148</v>
      </c>
      <c r="F495" s="20" t="s">
        <v>21</v>
      </c>
      <c r="G495" s="20" t="s">
        <v>21</v>
      </c>
      <c r="H495" s="22" t="s">
        <v>235</v>
      </c>
      <c r="I495" s="23" t="s">
        <v>303</v>
      </c>
      <c r="J495" s="24" t="s">
        <v>878</v>
      </c>
      <c r="K495" s="25">
        <f t="shared" si="43"/>
        <v>45813</v>
      </c>
      <c r="L495" s="26" t="str">
        <f t="shared" si="44"/>
        <v>Jun 25</v>
      </c>
      <c r="M495" s="26" t="str">
        <f t="shared" si="45"/>
        <v>2025</v>
      </c>
      <c r="N495" s="23" t="s">
        <v>1098</v>
      </c>
      <c r="O495" s="25">
        <f t="shared" si="48"/>
        <v>45854</v>
      </c>
      <c r="P495" s="27">
        <f t="shared" si="46"/>
        <v>1</v>
      </c>
      <c r="Q495" s="27">
        <f t="shared" si="47"/>
        <v>0</v>
      </c>
      <c r="R495" s="28" t="s">
        <v>22</v>
      </c>
      <c r="S495" s="21">
        <v>4278.29</v>
      </c>
      <c r="T495" s="18" t="s">
        <v>23</v>
      </c>
      <c r="U495" s="14"/>
    </row>
    <row r="496" spans="1:21" x14ac:dyDescent="0.2">
      <c r="A496" s="17">
        <v>494</v>
      </c>
      <c r="B496" s="18" t="s">
        <v>2141</v>
      </c>
      <c r="C496" s="19" t="s">
        <v>2149</v>
      </c>
      <c r="D496" s="20" t="s">
        <v>2150</v>
      </c>
      <c r="E496" s="21" t="s">
        <v>2151</v>
      </c>
      <c r="F496" s="20" t="s">
        <v>21</v>
      </c>
      <c r="G496" s="20" t="s">
        <v>21</v>
      </c>
      <c r="H496" s="22" t="s">
        <v>140</v>
      </c>
      <c r="I496" s="23" t="s">
        <v>141</v>
      </c>
      <c r="J496" s="24" t="s">
        <v>675</v>
      </c>
      <c r="K496" s="25">
        <f t="shared" si="43"/>
        <v>45777</v>
      </c>
      <c r="L496" s="26" t="str">
        <f t="shared" si="44"/>
        <v>Apr 25</v>
      </c>
      <c r="M496" s="26" t="str">
        <f t="shared" si="45"/>
        <v>2025</v>
      </c>
      <c r="N496" s="23" t="s">
        <v>1056</v>
      </c>
      <c r="O496" s="25">
        <f t="shared" si="48"/>
        <v>45847</v>
      </c>
      <c r="P496" s="27">
        <f t="shared" si="46"/>
        <v>2</v>
      </c>
      <c r="Q496" s="27">
        <f t="shared" si="47"/>
        <v>0</v>
      </c>
      <c r="R496" s="28" t="s">
        <v>22</v>
      </c>
      <c r="S496" s="21">
        <v>6577.2</v>
      </c>
      <c r="T496" s="18" t="s">
        <v>23</v>
      </c>
      <c r="U496" s="14"/>
    </row>
    <row r="497" spans="1:21" x14ac:dyDescent="0.2">
      <c r="A497" s="17">
        <v>495</v>
      </c>
      <c r="B497" s="18" t="s">
        <v>2136</v>
      </c>
      <c r="C497" s="19" t="s">
        <v>2152</v>
      </c>
      <c r="D497" s="20" t="s">
        <v>2153</v>
      </c>
      <c r="E497" s="21" t="s">
        <v>1801</v>
      </c>
      <c r="F497" s="20" t="s">
        <v>21</v>
      </c>
      <c r="G497" s="20" t="s">
        <v>21</v>
      </c>
      <c r="H497" s="22" t="s">
        <v>369</v>
      </c>
      <c r="I497" s="23" t="s">
        <v>620</v>
      </c>
      <c r="J497" s="24" t="s">
        <v>878</v>
      </c>
      <c r="K497" s="25">
        <f t="shared" si="43"/>
        <v>45813</v>
      </c>
      <c r="L497" s="26" t="str">
        <f t="shared" si="44"/>
        <v>Jun 25</v>
      </c>
      <c r="M497" s="26" t="str">
        <f t="shared" si="45"/>
        <v>2025</v>
      </c>
      <c r="N497" s="23" t="s">
        <v>70</v>
      </c>
      <c r="O497" s="25">
        <f t="shared" si="48"/>
        <v>45897</v>
      </c>
      <c r="P497" s="27">
        <f t="shared" si="46"/>
        <v>2</v>
      </c>
      <c r="Q497" s="27">
        <f t="shared" si="47"/>
        <v>0</v>
      </c>
      <c r="R497" s="28" t="s">
        <v>22</v>
      </c>
      <c r="S497" s="21">
        <v>104791.4</v>
      </c>
      <c r="T497" s="18" t="s">
        <v>23</v>
      </c>
      <c r="U497" s="14"/>
    </row>
    <row r="498" spans="1:21" x14ac:dyDescent="0.2">
      <c r="A498" s="17">
        <v>496</v>
      </c>
      <c r="B498" s="18" t="s">
        <v>2154</v>
      </c>
      <c r="C498" s="19" t="s">
        <v>2155</v>
      </c>
      <c r="D498" s="20" t="s">
        <v>2156</v>
      </c>
      <c r="E498" s="21" t="s">
        <v>2157</v>
      </c>
      <c r="F498" s="20" t="s">
        <v>21</v>
      </c>
      <c r="G498" s="20" t="s">
        <v>21</v>
      </c>
      <c r="H498" s="22" t="s">
        <v>486</v>
      </c>
      <c r="I498" s="23" t="s">
        <v>2158</v>
      </c>
      <c r="J498" s="24" t="s">
        <v>475</v>
      </c>
      <c r="K498" s="25">
        <f t="shared" si="43"/>
        <v>45850</v>
      </c>
      <c r="L498" s="26" t="str">
        <f t="shared" si="44"/>
        <v>Jul 25</v>
      </c>
      <c r="M498" s="26" t="str">
        <f t="shared" si="45"/>
        <v>2025</v>
      </c>
      <c r="N498" s="23" t="s">
        <v>1219</v>
      </c>
      <c r="O498" s="25">
        <f t="shared" si="48"/>
        <v>45876</v>
      </c>
      <c r="P498" s="27">
        <f t="shared" si="46"/>
        <v>0</v>
      </c>
      <c r="Q498" s="27">
        <f t="shared" si="47"/>
        <v>0</v>
      </c>
      <c r="R498" s="28" t="s">
        <v>22</v>
      </c>
      <c r="S498" s="21">
        <v>70767</v>
      </c>
      <c r="T498" s="18" t="s">
        <v>23</v>
      </c>
      <c r="U498" s="14"/>
    </row>
    <row r="499" spans="1:21" x14ac:dyDescent="0.2">
      <c r="A499" s="17">
        <v>497</v>
      </c>
      <c r="B499" s="18" t="s">
        <v>2159</v>
      </c>
      <c r="C499" s="19" t="s">
        <v>2160</v>
      </c>
      <c r="D499" s="20" t="s">
        <v>2161</v>
      </c>
      <c r="E499" s="21">
        <v>33600</v>
      </c>
      <c r="F499" s="20" t="s">
        <v>21</v>
      </c>
      <c r="G499" s="20" t="s">
        <v>21</v>
      </c>
      <c r="H499" s="22" t="s">
        <v>369</v>
      </c>
      <c r="I499" s="23" t="s">
        <v>620</v>
      </c>
      <c r="J499" s="24" t="s">
        <v>1118</v>
      </c>
      <c r="K499" s="25">
        <f t="shared" si="43"/>
        <v>45869</v>
      </c>
      <c r="L499" s="26" t="str">
        <f t="shared" si="44"/>
        <v>Jul 25</v>
      </c>
      <c r="M499" s="26" t="str">
        <f t="shared" si="45"/>
        <v>2025</v>
      </c>
      <c r="N499" s="23" t="s">
        <v>1239</v>
      </c>
      <c r="O499" s="25">
        <f t="shared" si="48"/>
        <v>45875</v>
      </c>
      <c r="P499" s="27">
        <f t="shared" si="46"/>
        <v>0</v>
      </c>
      <c r="Q499" s="27">
        <f t="shared" si="47"/>
        <v>0</v>
      </c>
      <c r="R499" s="28" t="s">
        <v>22</v>
      </c>
      <c r="S499" s="21">
        <v>3420</v>
      </c>
      <c r="T499" s="18" t="s">
        <v>23</v>
      </c>
      <c r="U499" s="14"/>
    </row>
    <row r="500" spans="1:21" x14ac:dyDescent="0.2">
      <c r="A500" s="17">
        <v>498</v>
      </c>
      <c r="B500" s="18" t="s">
        <v>2141</v>
      </c>
      <c r="C500" s="19" t="s">
        <v>2162</v>
      </c>
      <c r="D500" s="20" t="s">
        <v>2163</v>
      </c>
      <c r="E500" s="21" t="s">
        <v>2164</v>
      </c>
      <c r="F500" s="20" t="s">
        <v>21</v>
      </c>
      <c r="G500" s="20" t="s">
        <v>21</v>
      </c>
      <c r="H500" s="22" t="s">
        <v>140</v>
      </c>
      <c r="I500" s="23" t="s">
        <v>141</v>
      </c>
      <c r="J500" s="24" t="s">
        <v>1269</v>
      </c>
      <c r="K500" s="25">
        <f t="shared" si="43"/>
        <v>45893</v>
      </c>
      <c r="L500" s="26" t="str">
        <f t="shared" si="44"/>
        <v>Aug 25</v>
      </c>
      <c r="M500" s="26" t="str">
        <f t="shared" si="45"/>
        <v>2025</v>
      </c>
      <c r="N500" s="23" t="s">
        <v>1294</v>
      </c>
      <c r="O500" s="25">
        <f t="shared" si="48"/>
        <v>45898</v>
      </c>
      <c r="P500" s="27">
        <f t="shared" si="46"/>
        <v>0</v>
      </c>
      <c r="Q500" s="27">
        <f t="shared" si="47"/>
        <v>0</v>
      </c>
      <c r="R500" s="28" t="s">
        <v>22</v>
      </c>
      <c r="S500" s="21">
        <v>141936.42000000001</v>
      </c>
      <c r="T500" s="18" t="s">
        <v>23</v>
      </c>
      <c r="U500" s="14"/>
    </row>
    <row r="501" spans="1:21" x14ac:dyDescent="0.2">
      <c r="A501" s="17">
        <v>499</v>
      </c>
      <c r="B501" s="18" t="s">
        <v>2165</v>
      </c>
      <c r="C501" s="19" t="s">
        <v>2166</v>
      </c>
      <c r="D501" s="20" t="s">
        <v>2167</v>
      </c>
      <c r="E501" s="21" t="s">
        <v>2168</v>
      </c>
      <c r="F501" s="20" t="s">
        <v>21</v>
      </c>
      <c r="G501" s="20" t="s">
        <v>21</v>
      </c>
      <c r="H501" s="22" t="s">
        <v>403</v>
      </c>
      <c r="I501" s="23" t="s">
        <v>230</v>
      </c>
      <c r="J501" s="24" t="s">
        <v>2169</v>
      </c>
      <c r="K501" s="25">
        <f t="shared" si="43"/>
        <v>269</v>
      </c>
      <c r="L501" s="26" t="str">
        <f t="shared" si="44"/>
        <v>Sep 00</v>
      </c>
      <c r="M501" s="26" t="str">
        <f t="shared" si="45"/>
        <v>1900</v>
      </c>
      <c r="N501" s="23" t="s">
        <v>1486</v>
      </c>
      <c r="O501" s="25">
        <f t="shared" si="48"/>
        <v>45944</v>
      </c>
      <c r="P501" s="27">
        <f t="shared" si="46"/>
        <v>1500</v>
      </c>
      <c r="Q501" s="27">
        <f t="shared" si="47"/>
        <v>125</v>
      </c>
      <c r="R501" s="28" t="s">
        <v>22</v>
      </c>
      <c r="S501" s="21">
        <v>24331.759999999998</v>
      </c>
      <c r="T501" s="18" t="s">
        <v>23</v>
      </c>
      <c r="U501" s="14"/>
    </row>
    <row r="502" spans="1:21" x14ac:dyDescent="0.2">
      <c r="A502" s="17">
        <v>500</v>
      </c>
      <c r="B502" s="18" t="s">
        <v>2145</v>
      </c>
      <c r="C502" s="19" t="s">
        <v>2170</v>
      </c>
      <c r="D502" s="20" t="s">
        <v>2171</v>
      </c>
      <c r="E502" s="21" t="s">
        <v>2148</v>
      </c>
      <c r="F502" s="20" t="s">
        <v>21</v>
      </c>
      <c r="G502" s="20" t="s">
        <v>21</v>
      </c>
      <c r="H502" s="22" t="s">
        <v>235</v>
      </c>
      <c r="I502" s="23" t="s">
        <v>236</v>
      </c>
      <c r="J502" s="24" t="s">
        <v>2172</v>
      </c>
      <c r="K502" s="25">
        <f t="shared" si="43"/>
        <v>45608</v>
      </c>
      <c r="L502" s="26" t="str">
        <f t="shared" si="44"/>
        <v>Nov 24</v>
      </c>
      <c r="M502" s="26" t="str">
        <f t="shared" si="45"/>
        <v>2024</v>
      </c>
      <c r="N502" s="23" t="s">
        <v>253</v>
      </c>
      <c r="O502" s="25">
        <f t="shared" si="48"/>
        <v>45687</v>
      </c>
      <c r="P502" s="27">
        <f t="shared" si="46"/>
        <v>2</v>
      </c>
      <c r="Q502" s="27">
        <f t="shared" si="47"/>
        <v>1</v>
      </c>
      <c r="R502" s="28" t="s">
        <v>22</v>
      </c>
      <c r="S502" s="21">
        <v>33151</v>
      </c>
      <c r="T502" s="18" t="s">
        <v>23</v>
      </c>
      <c r="U502" s="14"/>
    </row>
    <row r="503" spans="1:21" x14ac:dyDescent="0.2">
      <c r="A503" s="17">
        <v>501</v>
      </c>
      <c r="B503" s="18" t="s">
        <v>2173</v>
      </c>
      <c r="C503" s="19" t="s">
        <v>2174</v>
      </c>
      <c r="D503" s="20" t="s">
        <v>2175</v>
      </c>
      <c r="E503" s="21">
        <v>50000</v>
      </c>
      <c r="F503" s="20" t="s">
        <v>21</v>
      </c>
      <c r="G503" s="20" t="s">
        <v>21</v>
      </c>
      <c r="H503" s="22" t="s">
        <v>235</v>
      </c>
      <c r="I503" s="23" t="s">
        <v>303</v>
      </c>
      <c r="J503" s="24" t="s">
        <v>264</v>
      </c>
      <c r="K503" s="25">
        <f t="shared" si="43"/>
        <v>45656</v>
      </c>
      <c r="L503" s="26" t="str">
        <f t="shared" si="44"/>
        <v>Dec 24</v>
      </c>
      <c r="M503" s="26" t="str">
        <f t="shared" si="45"/>
        <v>2024</v>
      </c>
      <c r="N503" s="23" t="s">
        <v>1127</v>
      </c>
      <c r="O503" s="25">
        <f t="shared" si="48"/>
        <v>45673</v>
      </c>
      <c r="P503" s="27">
        <f t="shared" si="46"/>
        <v>0</v>
      </c>
      <c r="Q503" s="27">
        <f t="shared" si="47"/>
        <v>1</v>
      </c>
      <c r="R503" s="28" t="s">
        <v>2176</v>
      </c>
      <c r="S503" s="21">
        <v>3240</v>
      </c>
      <c r="T503" s="18" t="s">
        <v>23</v>
      </c>
      <c r="U503" s="14"/>
    </row>
    <row r="504" spans="1:21" x14ac:dyDescent="0.2">
      <c r="A504" s="17">
        <v>502</v>
      </c>
      <c r="B504" s="18" t="s">
        <v>2177</v>
      </c>
      <c r="C504" s="19" t="s">
        <v>2178</v>
      </c>
      <c r="D504" s="20" t="s">
        <v>2179</v>
      </c>
      <c r="E504" s="21">
        <v>30000</v>
      </c>
      <c r="F504" s="20" t="s">
        <v>21</v>
      </c>
      <c r="G504" s="20" t="s">
        <v>21</v>
      </c>
      <c r="H504" s="22" t="s">
        <v>140</v>
      </c>
      <c r="I504" s="23" t="s">
        <v>510</v>
      </c>
      <c r="J504" s="24" t="s">
        <v>143</v>
      </c>
      <c r="K504" s="25">
        <f t="shared" si="43"/>
        <v>45666</v>
      </c>
      <c r="L504" s="26" t="str">
        <f t="shared" si="44"/>
        <v>Jan 25</v>
      </c>
      <c r="M504" s="26" t="str">
        <f t="shared" si="45"/>
        <v>2025</v>
      </c>
      <c r="N504" s="23" t="s">
        <v>288</v>
      </c>
      <c r="O504" s="25">
        <f t="shared" si="48"/>
        <v>45700</v>
      </c>
      <c r="P504" s="27">
        <f t="shared" si="46"/>
        <v>1</v>
      </c>
      <c r="Q504" s="27">
        <f t="shared" si="47"/>
        <v>0</v>
      </c>
      <c r="R504" s="28" t="s">
        <v>22</v>
      </c>
      <c r="S504" s="21">
        <v>3445.2</v>
      </c>
      <c r="T504" s="18" t="s">
        <v>23</v>
      </c>
      <c r="U504" s="14"/>
    </row>
    <row r="505" spans="1:21" x14ac:dyDescent="0.2">
      <c r="A505" s="17">
        <v>503</v>
      </c>
      <c r="B505" s="18" t="s">
        <v>2180</v>
      </c>
      <c r="C505" s="19" t="s">
        <v>2181</v>
      </c>
      <c r="D505" s="20" t="s">
        <v>2182</v>
      </c>
      <c r="E505" s="21">
        <v>50000</v>
      </c>
      <c r="F505" s="20" t="s">
        <v>21</v>
      </c>
      <c r="G505" s="20" t="s">
        <v>21</v>
      </c>
      <c r="H505" s="22" t="s">
        <v>110</v>
      </c>
      <c r="I505" s="23" t="s">
        <v>111</v>
      </c>
      <c r="J505" s="24" t="s">
        <v>112</v>
      </c>
      <c r="K505" s="25">
        <f t="shared" si="43"/>
        <v>45694</v>
      </c>
      <c r="L505" s="26" t="str">
        <f t="shared" si="44"/>
        <v>Feb 25</v>
      </c>
      <c r="M505" s="26" t="str">
        <f t="shared" si="45"/>
        <v>2025</v>
      </c>
      <c r="N505" s="23" t="s">
        <v>288</v>
      </c>
      <c r="O505" s="25">
        <f t="shared" si="48"/>
        <v>45700</v>
      </c>
      <c r="P505" s="27">
        <f t="shared" si="46"/>
        <v>0</v>
      </c>
      <c r="Q505" s="27">
        <f t="shared" si="47"/>
        <v>0</v>
      </c>
      <c r="R505" s="28" t="s">
        <v>22</v>
      </c>
      <c r="S505" s="21">
        <v>3240</v>
      </c>
      <c r="T505" s="18" t="s">
        <v>23</v>
      </c>
      <c r="U505" s="14"/>
    </row>
    <row r="506" spans="1:21" x14ac:dyDescent="0.2">
      <c r="A506" s="17">
        <v>504</v>
      </c>
      <c r="B506" s="18" t="s">
        <v>2183</v>
      </c>
      <c r="C506" s="19" t="s">
        <v>2184</v>
      </c>
      <c r="D506" s="20" t="s">
        <v>2185</v>
      </c>
      <c r="E506" s="21">
        <v>32000</v>
      </c>
      <c r="F506" s="20" t="s">
        <v>21</v>
      </c>
      <c r="G506" s="20" t="s">
        <v>21</v>
      </c>
      <c r="H506" s="22" t="s">
        <v>140</v>
      </c>
      <c r="I506" s="23" t="s">
        <v>2186</v>
      </c>
      <c r="J506" s="24" t="s">
        <v>228</v>
      </c>
      <c r="K506" s="25">
        <f t="shared" si="43"/>
        <v>45696</v>
      </c>
      <c r="L506" s="26" t="str">
        <f t="shared" si="44"/>
        <v>Feb 25</v>
      </c>
      <c r="M506" s="26" t="str">
        <f t="shared" si="45"/>
        <v>2025</v>
      </c>
      <c r="N506" s="23" t="s">
        <v>288</v>
      </c>
      <c r="O506" s="25">
        <f t="shared" si="48"/>
        <v>45700</v>
      </c>
      <c r="P506" s="27">
        <f t="shared" si="46"/>
        <v>0</v>
      </c>
      <c r="Q506" s="27">
        <f t="shared" si="47"/>
        <v>0</v>
      </c>
      <c r="R506" s="28" t="s">
        <v>22</v>
      </c>
      <c r="S506" s="21">
        <v>3027.6</v>
      </c>
      <c r="T506" s="18" t="s">
        <v>23</v>
      </c>
      <c r="U506" s="14"/>
    </row>
    <row r="507" spans="1:21" x14ac:dyDescent="0.2">
      <c r="A507" s="17">
        <v>505</v>
      </c>
      <c r="B507" s="18" t="s">
        <v>2187</v>
      </c>
      <c r="C507" s="19" t="s">
        <v>2188</v>
      </c>
      <c r="D507" s="20" t="s">
        <v>2189</v>
      </c>
      <c r="E507" s="21">
        <v>250000</v>
      </c>
      <c r="F507" s="20" t="s">
        <v>21</v>
      </c>
      <c r="G507" s="20" t="s">
        <v>2190</v>
      </c>
      <c r="H507" s="22" t="s">
        <v>186</v>
      </c>
      <c r="I507" s="23" t="s">
        <v>34</v>
      </c>
      <c r="J507" s="24" t="s">
        <v>135</v>
      </c>
      <c r="K507" s="25">
        <f t="shared" si="43"/>
        <v>45667</v>
      </c>
      <c r="L507" s="26" t="str">
        <f t="shared" si="44"/>
        <v>Jan 25</v>
      </c>
      <c r="M507" s="26" t="str">
        <f t="shared" si="45"/>
        <v>2025</v>
      </c>
      <c r="N507" s="23" t="s">
        <v>486</v>
      </c>
      <c r="O507" s="25">
        <f t="shared" si="48"/>
        <v>45735</v>
      </c>
      <c r="P507" s="27">
        <f t="shared" si="46"/>
        <v>2</v>
      </c>
      <c r="Q507" s="27">
        <f t="shared" si="47"/>
        <v>0</v>
      </c>
      <c r="R507" s="28" t="s">
        <v>22</v>
      </c>
      <c r="S507" s="21">
        <v>66295</v>
      </c>
      <c r="T507" s="18" t="s">
        <v>23</v>
      </c>
      <c r="U507" s="14"/>
    </row>
    <row r="508" spans="1:21" x14ac:dyDescent="0.2">
      <c r="A508" s="17">
        <v>506</v>
      </c>
      <c r="B508" s="18" t="s">
        <v>2191</v>
      </c>
      <c r="C508" s="19" t="s">
        <v>2192</v>
      </c>
      <c r="D508" s="20" t="s">
        <v>2193</v>
      </c>
      <c r="E508" s="21">
        <v>30000</v>
      </c>
      <c r="F508" s="20" t="s">
        <v>21</v>
      </c>
      <c r="G508" s="20" t="s">
        <v>21</v>
      </c>
      <c r="H508" s="22" t="s">
        <v>428</v>
      </c>
      <c r="I508" s="23" t="s">
        <v>2194</v>
      </c>
      <c r="J508" s="24" t="s">
        <v>345</v>
      </c>
      <c r="K508" s="25">
        <f t="shared" si="43"/>
        <v>45706</v>
      </c>
      <c r="L508" s="26" t="str">
        <f t="shared" si="44"/>
        <v>Feb 25</v>
      </c>
      <c r="M508" s="26" t="str">
        <f t="shared" si="45"/>
        <v>2025</v>
      </c>
      <c r="N508" s="23" t="s">
        <v>495</v>
      </c>
      <c r="O508" s="25">
        <f t="shared" si="48"/>
        <v>45737</v>
      </c>
      <c r="P508" s="27">
        <f t="shared" si="46"/>
        <v>1</v>
      </c>
      <c r="Q508" s="27">
        <f t="shared" si="47"/>
        <v>0</v>
      </c>
      <c r="R508" s="28" t="s">
        <v>22</v>
      </c>
      <c r="S508" s="21">
        <v>7120</v>
      </c>
      <c r="T508" s="18" t="s">
        <v>23</v>
      </c>
      <c r="U508" s="14"/>
    </row>
    <row r="509" spans="1:21" x14ac:dyDescent="0.2">
      <c r="A509" s="17">
        <v>507</v>
      </c>
      <c r="B509" s="18" t="s">
        <v>2195</v>
      </c>
      <c r="C509" s="19" t="s">
        <v>2196</v>
      </c>
      <c r="D509" s="20" t="s">
        <v>2197</v>
      </c>
      <c r="E509" s="21">
        <v>120000</v>
      </c>
      <c r="F509" s="20" t="s">
        <v>21</v>
      </c>
      <c r="G509" s="20" t="s">
        <v>21</v>
      </c>
      <c r="H509" s="22" t="s">
        <v>589</v>
      </c>
      <c r="I509" s="23" t="s">
        <v>2198</v>
      </c>
      <c r="J509" s="24" t="s">
        <v>703</v>
      </c>
      <c r="K509" s="25">
        <f t="shared" si="43"/>
        <v>45745</v>
      </c>
      <c r="L509" s="26" t="str">
        <f t="shared" si="44"/>
        <v>Mar 25</v>
      </c>
      <c r="M509" s="26" t="str">
        <f t="shared" si="45"/>
        <v>2025</v>
      </c>
      <c r="N509" s="23" t="s">
        <v>369</v>
      </c>
      <c r="O509" s="25">
        <f t="shared" si="48"/>
        <v>45748</v>
      </c>
      <c r="P509" s="27">
        <f t="shared" si="46"/>
        <v>0</v>
      </c>
      <c r="Q509" s="27">
        <f t="shared" si="47"/>
        <v>0</v>
      </c>
      <c r="R509" s="28" t="s">
        <v>22</v>
      </c>
      <c r="S509" s="21">
        <v>45486</v>
      </c>
      <c r="T509" s="18" t="s">
        <v>23</v>
      </c>
      <c r="U509" s="14"/>
    </row>
    <row r="510" spans="1:21" x14ac:dyDescent="0.2">
      <c r="A510" s="17">
        <v>508</v>
      </c>
      <c r="B510" s="18" t="s">
        <v>2199</v>
      </c>
      <c r="C510" s="19" t="s">
        <v>2200</v>
      </c>
      <c r="D510" s="20" t="s">
        <v>2201</v>
      </c>
      <c r="E510" s="21">
        <v>80000</v>
      </c>
      <c r="F510" s="20" t="s">
        <v>2202</v>
      </c>
      <c r="G510" s="20" t="s">
        <v>21</v>
      </c>
      <c r="H510" s="22" t="s">
        <v>152</v>
      </c>
      <c r="I510" s="23" t="s">
        <v>2203</v>
      </c>
      <c r="J510" s="24" t="s">
        <v>403</v>
      </c>
      <c r="K510" s="25">
        <f t="shared" si="43"/>
        <v>45716</v>
      </c>
      <c r="L510" s="26" t="str">
        <f t="shared" si="44"/>
        <v>Feb 25</v>
      </c>
      <c r="M510" s="26" t="str">
        <f t="shared" si="45"/>
        <v>2025</v>
      </c>
      <c r="N510" s="23" t="s">
        <v>536</v>
      </c>
      <c r="O510" s="25">
        <f t="shared" si="48"/>
        <v>45751</v>
      </c>
      <c r="P510" s="27">
        <f t="shared" si="46"/>
        <v>1</v>
      </c>
      <c r="Q510" s="27">
        <f t="shared" si="47"/>
        <v>0</v>
      </c>
      <c r="R510" s="28" t="s">
        <v>22</v>
      </c>
      <c r="S510" s="21">
        <v>8737.2000000000007</v>
      </c>
      <c r="T510" s="18" t="s">
        <v>23</v>
      </c>
      <c r="U510" s="14"/>
    </row>
    <row r="511" spans="1:21" x14ac:dyDescent="0.2">
      <c r="A511" s="17">
        <v>509</v>
      </c>
      <c r="B511" s="18" t="s">
        <v>2204</v>
      </c>
      <c r="C511" s="19" t="s">
        <v>2205</v>
      </c>
      <c r="D511" s="20" t="s">
        <v>2206</v>
      </c>
      <c r="E511" s="21">
        <v>70000</v>
      </c>
      <c r="F511" s="20" t="s">
        <v>21</v>
      </c>
      <c r="G511" s="20" t="s">
        <v>21</v>
      </c>
      <c r="H511" s="22" t="s">
        <v>2207</v>
      </c>
      <c r="I511" s="23" t="s">
        <v>1676</v>
      </c>
      <c r="J511" s="24" t="s">
        <v>607</v>
      </c>
      <c r="K511" s="25">
        <f t="shared" si="43"/>
        <v>45762</v>
      </c>
      <c r="L511" s="26" t="str">
        <f t="shared" si="44"/>
        <v>Apr 25</v>
      </c>
      <c r="M511" s="26" t="str">
        <f t="shared" si="45"/>
        <v>2025</v>
      </c>
      <c r="N511" s="23" t="s">
        <v>704</v>
      </c>
      <c r="O511" s="25">
        <f t="shared" si="48"/>
        <v>45783</v>
      </c>
      <c r="P511" s="27">
        <f t="shared" si="46"/>
        <v>0</v>
      </c>
      <c r="Q511" s="27">
        <f t="shared" si="47"/>
        <v>0</v>
      </c>
      <c r="R511" s="28" t="s">
        <v>894</v>
      </c>
      <c r="S511" s="21">
        <v>0</v>
      </c>
      <c r="T511" s="18" t="s">
        <v>23</v>
      </c>
      <c r="U511" s="14"/>
    </row>
    <row r="512" spans="1:21" x14ac:dyDescent="0.2">
      <c r="A512" s="17">
        <v>510</v>
      </c>
      <c r="B512" s="18" t="s">
        <v>2208</v>
      </c>
      <c r="C512" s="19" t="s">
        <v>2209</v>
      </c>
      <c r="D512" s="20" t="s">
        <v>2210</v>
      </c>
      <c r="E512" s="21">
        <v>20000</v>
      </c>
      <c r="F512" s="20" t="s">
        <v>21</v>
      </c>
      <c r="G512" s="20" t="s">
        <v>21</v>
      </c>
      <c r="H512" s="22" t="s">
        <v>110</v>
      </c>
      <c r="I512" s="23" t="s">
        <v>382</v>
      </c>
      <c r="J512" s="24" t="s">
        <v>720</v>
      </c>
      <c r="K512" s="25">
        <f t="shared" si="43"/>
        <v>45784</v>
      </c>
      <c r="L512" s="26" t="str">
        <f t="shared" si="44"/>
        <v>May 25</v>
      </c>
      <c r="M512" s="26" t="str">
        <f t="shared" si="45"/>
        <v>2025</v>
      </c>
      <c r="N512" s="23" t="s">
        <v>97</v>
      </c>
      <c r="O512" s="25">
        <f t="shared" si="48"/>
        <v>45796</v>
      </c>
      <c r="P512" s="27">
        <f t="shared" si="46"/>
        <v>0</v>
      </c>
      <c r="Q512" s="27">
        <f t="shared" si="47"/>
        <v>0</v>
      </c>
      <c r="R512" s="28" t="s">
        <v>22</v>
      </c>
      <c r="S512" s="21">
        <v>2340</v>
      </c>
      <c r="T512" s="18" t="s">
        <v>23</v>
      </c>
      <c r="U512" s="14"/>
    </row>
    <row r="513" spans="1:21" x14ac:dyDescent="0.2">
      <c r="A513" s="17">
        <v>511</v>
      </c>
      <c r="B513" s="18" t="s">
        <v>2211</v>
      </c>
      <c r="C513" s="19" t="s">
        <v>2212</v>
      </c>
      <c r="D513" s="20" t="s">
        <v>2213</v>
      </c>
      <c r="E513" s="21">
        <v>120000</v>
      </c>
      <c r="F513" s="20" t="s">
        <v>21</v>
      </c>
      <c r="G513" s="20" t="s">
        <v>2214</v>
      </c>
      <c r="H513" s="22" t="s">
        <v>2215</v>
      </c>
      <c r="I513" s="23" t="s">
        <v>1006</v>
      </c>
      <c r="J513" s="24" t="s">
        <v>2216</v>
      </c>
      <c r="K513" s="25">
        <f t="shared" si="43"/>
        <v>45519</v>
      </c>
      <c r="L513" s="26" t="str">
        <f t="shared" si="44"/>
        <v>Aug 24</v>
      </c>
      <c r="M513" s="26" t="str">
        <f t="shared" si="45"/>
        <v>2024</v>
      </c>
      <c r="N513" s="23" t="s">
        <v>502</v>
      </c>
      <c r="O513" s="25">
        <f t="shared" si="48"/>
        <v>45736</v>
      </c>
      <c r="P513" s="27">
        <f t="shared" si="46"/>
        <v>7</v>
      </c>
      <c r="Q513" s="27">
        <f t="shared" si="47"/>
        <v>1</v>
      </c>
      <c r="R513" s="28" t="s">
        <v>22</v>
      </c>
      <c r="S513" s="21">
        <v>12000</v>
      </c>
      <c r="T513" s="18" t="s">
        <v>23</v>
      </c>
      <c r="U513" s="14"/>
    </row>
    <row r="514" spans="1:21" x14ac:dyDescent="0.2">
      <c r="A514" s="17">
        <v>512</v>
      </c>
      <c r="B514" s="18" t="s">
        <v>2217</v>
      </c>
      <c r="C514" s="19" t="s">
        <v>2218</v>
      </c>
      <c r="D514" s="20" t="s">
        <v>2219</v>
      </c>
      <c r="E514" s="21">
        <v>40000</v>
      </c>
      <c r="F514" s="20" t="s">
        <v>21</v>
      </c>
      <c r="G514" s="20" t="s">
        <v>21</v>
      </c>
      <c r="H514" s="22" t="s">
        <v>2220</v>
      </c>
      <c r="I514" s="23" t="s">
        <v>2221</v>
      </c>
      <c r="J514" s="24" t="s">
        <v>172</v>
      </c>
      <c r="K514" s="25">
        <f t="shared" si="43"/>
        <v>45756</v>
      </c>
      <c r="L514" s="26" t="str">
        <f t="shared" si="44"/>
        <v>Apr 25</v>
      </c>
      <c r="M514" s="26" t="str">
        <f t="shared" si="45"/>
        <v>2025</v>
      </c>
      <c r="N514" s="23" t="s">
        <v>813</v>
      </c>
      <c r="O514" s="25">
        <f t="shared" si="48"/>
        <v>45805</v>
      </c>
      <c r="P514" s="27">
        <f t="shared" si="46"/>
        <v>1</v>
      </c>
      <c r="Q514" s="27">
        <f t="shared" si="47"/>
        <v>0</v>
      </c>
      <c r="R514" s="28" t="s">
        <v>22</v>
      </c>
      <c r="S514" s="21">
        <v>3870</v>
      </c>
      <c r="T514" s="18" t="s">
        <v>23</v>
      </c>
      <c r="U514" s="14"/>
    </row>
    <row r="515" spans="1:21" x14ac:dyDescent="0.2">
      <c r="A515" s="17">
        <v>513</v>
      </c>
      <c r="B515" s="18" t="s">
        <v>2222</v>
      </c>
      <c r="C515" s="19" t="s">
        <v>2223</v>
      </c>
      <c r="D515" s="20" t="s">
        <v>2224</v>
      </c>
      <c r="E515" s="21">
        <v>140000</v>
      </c>
      <c r="F515" s="20" t="s">
        <v>21</v>
      </c>
      <c r="G515" s="20" t="s">
        <v>21</v>
      </c>
      <c r="H515" s="22" t="s">
        <v>2225</v>
      </c>
      <c r="I515" s="23" t="s">
        <v>57</v>
      </c>
      <c r="J515" s="24" t="s">
        <v>813</v>
      </c>
      <c r="K515" s="25">
        <f t="shared" si="43"/>
        <v>45805</v>
      </c>
      <c r="L515" s="26" t="str">
        <f t="shared" si="44"/>
        <v>May 25</v>
      </c>
      <c r="M515" s="26" t="str">
        <f t="shared" si="45"/>
        <v>2025</v>
      </c>
      <c r="N515" s="23" t="s">
        <v>898</v>
      </c>
      <c r="O515" s="25">
        <f t="shared" si="48"/>
        <v>45820</v>
      </c>
      <c r="P515" s="27">
        <f t="shared" si="46"/>
        <v>0</v>
      </c>
      <c r="Q515" s="27">
        <f t="shared" si="47"/>
        <v>0</v>
      </c>
      <c r="R515" s="28" t="s">
        <v>2226</v>
      </c>
      <c r="S515" s="21">
        <v>48000</v>
      </c>
      <c r="T515" s="18" t="s">
        <v>23</v>
      </c>
      <c r="U515" s="14"/>
    </row>
    <row r="516" spans="1:21" x14ac:dyDescent="0.2">
      <c r="A516" s="17">
        <v>514</v>
      </c>
      <c r="B516" s="18" t="s">
        <v>2227</v>
      </c>
      <c r="C516" s="19" t="s">
        <v>2228</v>
      </c>
      <c r="D516" s="20" t="s">
        <v>2229</v>
      </c>
      <c r="E516" s="21">
        <v>30000</v>
      </c>
      <c r="F516" s="20" t="s">
        <v>21</v>
      </c>
      <c r="G516" s="20" t="s">
        <v>21</v>
      </c>
      <c r="H516" s="22">
        <v>11.012025</v>
      </c>
      <c r="I516" s="23" t="s">
        <v>135</v>
      </c>
      <c r="J516" s="24" t="s">
        <v>653</v>
      </c>
      <c r="K516" s="25">
        <f t="shared" ref="K516:K579" si="49">DATE(RIGHT(J516,4),MID(J516,4,2),LEFT(J516,2))</f>
        <v>45771</v>
      </c>
      <c r="L516" s="26" t="str">
        <f t="shared" ref="L516:L579" si="50">TEXT(K516,"MMM YY")</f>
        <v>Apr 25</v>
      </c>
      <c r="M516" s="26" t="str">
        <f t="shared" ref="M516:M579" si="51">TEXT(K516,"yyyy")</f>
        <v>2025</v>
      </c>
      <c r="N516" s="23" t="s">
        <v>1237</v>
      </c>
      <c r="O516" s="25">
        <f t="shared" si="48"/>
        <v>45817</v>
      </c>
      <c r="P516" s="27">
        <f t="shared" ref="P516:P579" si="52">DATEDIF(K516,O516,"M")</f>
        <v>1</v>
      </c>
      <c r="Q516" s="27">
        <f t="shared" ref="Q516:Q579" si="53">YEAR(O516)-YEAR(K516)</f>
        <v>0</v>
      </c>
      <c r="R516" s="28" t="s">
        <v>22</v>
      </c>
      <c r="S516" s="21">
        <v>27000</v>
      </c>
      <c r="T516" s="18" t="s">
        <v>23</v>
      </c>
      <c r="U516" s="14"/>
    </row>
    <row r="517" spans="1:21" x14ac:dyDescent="0.2">
      <c r="A517" s="17">
        <v>515</v>
      </c>
      <c r="B517" s="18" t="s">
        <v>2230</v>
      </c>
      <c r="C517" s="19" t="s">
        <v>2231</v>
      </c>
      <c r="D517" s="20" t="s">
        <v>2232</v>
      </c>
      <c r="E517" s="21">
        <v>20000</v>
      </c>
      <c r="F517" s="20"/>
      <c r="G517" s="20"/>
      <c r="H517" s="22" t="s">
        <v>99</v>
      </c>
      <c r="I517" s="23" t="s">
        <v>856</v>
      </c>
      <c r="J517" s="24" t="s">
        <v>2233</v>
      </c>
      <c r="K517" s="25">
        <f t="shared" si="49"/>
        <v>45815</v>
      </c>
      <c r="L517" s="26" t="str">
        <f t="shared" si="50"/>
        <v>Jun 25</v>
      </c>
      <c r="M517" s="26" t="str">
        <f t="shared" si="51"/>
        <v>2025</v>
      </c>
      <c r="N517" s="23" t="s">
        <v>1056</v>
      </c>
      <c r="O517" s="25">
        <f t="shared" si="48"/>
        <v>45847</v>
      </c>
      <c r="P517" s="27">
        <f t="shared" si="52"/>
        <v>1</v>
      </c>
      <c r="Q517" s="27">
        <f t="shared" si="53"/>
        <v>0</v>
      </c>
      <c r="R517" s="28" t="s">
        <v>894</v>
      </c>
      <c r="S517" s="21">
        <v>0</v>
      </c>
      <c r="T517" s="18" t="s">
        <v>23</v>
      </c>
      <c r="U517" s="14"/>
    </row>
    <row r="518" spans="1:21" x14ac:dyDescent="0.2">
      <c r="A518" s="17">
        <v>516</v>
      </c>
      <c r="B518" s="18" t="s">
        <v>2234</v>
      </c>
      <c r="C518" s="19" t="s">
        <v>2235</v>
      </c>
      <c r="D518" s="20" t="s">
        <v>2236</v>
      </c>
      <c r="E518" s="21">
        <v>130000</v>
      </c>
      <c r="F518" s="20" t="s">
        <v>21</v>
      </c>
      <c r="G518" s="20" t="s">
        <v>21</v>
      </c>
      <c r="H518" s="22" t="s">
        <v>140</v>
      </c>
      <c r="I518" s="23" t="s">
        <v>510</v>
      </c>
      <c r="J518" s="24" t="s">
        <v>918</v>
      </c>
      <c r="K518" s="25">
        <f t="shared" si="49"/>
        <v>45824</v>
      </c>
      <c r="L518" s="26" t="str">
        <f t="shared" si="50"/>
        <v>Jun 25</v>
      </c>
      <c r="M518" s="26" t="str">
        <f t="shared" si="51"/>
        <v>2025</v>
      </c>
      <c r="N518" s="23" t="s">
        <v>1272</v>
      </c>
      <c r="O518" s="25">
        <f t="shared" si="48"/>
        <v>45904</v>
      </c>
      <c r="P518" s="27">
        <f t="shared" si="52"/>
        <v>2</v>
      </c>
      <c r="Q518" s="27">
        <f t="shared" si="53"/>
        <v>0</v>
      </c>
      <c r="R518" s="28" t="s">
        <v>2237</v>
      </c>
      <c r="S518" s="21">
        <v>2790</v>
      </c>
      <c r="T518" s="18" t="s">
        <v>23</v>
      </c>
      <c r="U518" s="14"/>
    </row>
    <row r="519" spans="1:21" x14ac:dyDescent="0.2">
      <c r="A519" s="17">
        <v>517</v>
      </c>
      <c r="B519" s="18" t="s">
        <v>2238</v>
      </c>
      <c r="C519" s="19" t="s">
        <v>2239</v>
      </c>
      <c r="D519" s="20" t="s">
        <v>2240</v>
      </c>
      <c r="E519" s="21" t="s">
        <v>374</v>
      </c>
      <c r="F519" s="20" t="s">
        <v>21</v>
      </c>
      <c r="G519" s="20" t="s">
        <v>21</v>
      </c>
      <c r="H519" s="22" t="s">
        <v>120</v>
      </c>
      <c r="I519" s="23" t="s">
        <v>1317</v>
      </c>
      <c r="J519" s="24" t="s">
        <v>27</v>
      </c>
      <c r="K519" s="25">
        <f t="shared" si="49"/>
        <v>45839</v>
      </c>
      <c r="L519" s="26" t="str">
        <f t="shared" si="50"/>
        <v>Jul 25</v>
      </c>
      <c r="M519" s="26" t="str">
        <f t="shared" si="51"/>
        <v>2025</v>
      </c>
      <c r="N519" s="23" t="s">
        <v>2241</v>
      </c>
      <c r="O519" s="25">
        <f t="shared" si="48"/>
        <v>46948</v>
      </c>
      <c r="P519" s="27">
        <f t="shared" si="52"/>
        <v>36</v>
      </c>
      <c r="Q519" s="27">
        <f t="shared" si="53"/>
        <v>3</v>
      </c>
      <c r="R519" s="28" t="s">
        <v>22</v>
      </c>
      <c r="S519" s="21">
        <v>24183</v>
      </c>
      <c r="T519" s="18" t="s">
        <v>23</v>
      </c>
      <c r="U519" s="14"/>
    </row>
    <row r="520" spans="1:21" x14ac:dyDescent="0.2">
      <c r="A520" s="17">
        <v>518</v>
      </c>
      <c r="B520" s="18" t="s">
        <v>2242</v>
      </c>
      <c r="C520" s="19" t="s">
        <v>2243</v>
      </c>
      <c r="D520" s="20" t="s">
        <v>2244</v>
      </c>
      <c r="E520" s="21">
        <v>45000</v>
      </c>
      <c r="F520" s="20" t="s">
        <v>21</v>
      </c>
      <c r="G520" s="20" t="s">
        <v>21</v>
      </c>
      <c r="H520" s="22" t="s">
        <v>2245</v>
      </c>
      <c r="I520" s="23">
        <v>1208.2049999999999</v>
      </c>
      <c r="J520" s="24" t="s">
        <v>785</v>
      </c>
      <c r="K520" s="25">
        <f t="shared" si="49"/>
        <v>45481</v>
      </c>
      <c r="L520" s="26" t="str">
        <f t="shared" si="50"/>
        <v>Jul 24</v>
      </c>
      <c r="M520" s="26" t="str">
        <f t="shared" si="51"/>
        <v>2024</v>
      </c>
      <c r="N520" s="23" t="s">
        <v>1184</v>
      </c>
      <c r="O520" s="25">
        <f t="shared" si="48"/>
        <v>45881</v>
      </c>
      <c r="P520" s="27">
        <f t="shared" si="52"/>
        <v>13</v>
      </c>
      <c r="Q520" s="27">
        <f t="shared" si="53"/>
        <v>1</v>
      </c>
      <c r="R520" s="28" t="s">
        <v>22</v>
      </c>
      <c r="S520" s="21">
        <v>40500</v>
      </c>
      <c r="T520" s="18" t="s">
        <v>23</v>
      </c>
      <c r="U520" s="14"/>
    </row>
    <row r="521" spans="1:21" x14ac:dyDescent="0.2">
      <c r="A521" s="17">
        <v>519</v>
      </c>
      <c r="B521" s="18" t="s">
        <v>2246</v>
      </c>
      <c r="C521" s="19" t="s">
        <v>2247</v>
      </c>
      <c r="D521" s="20" t="s">
        <v>2248</v>
      </c>
      <c r="E521" s="21">
        <v>55000</v>
      </c>
      <c r="F521" s="20" t="s">
        <v>21</v>
      </c>
      <c r="G521" s="20" t="s">
        <v>21</v>
      </c>
      <c r="H521" s="22" t="s">
        <v>188</v>
      </c>
      <c r="I521" s="23" t="s">
        <v>2249</v>
      </c>
      <c r="J521" s="24" t="s">
        <v>1211</v>
      </c>
      <c r="K521" s="25">
        <f t="shared" si="49"/>
        <v>45871</v>
      </c>
      <c r="L521" s="26" t="str">
        <f t="shared" si="50"/>
        <v>Aug 25</v>
      </c>
      <c r="M521" s="26" t="str">
        <f t="shared" si="51"/>
        <v>2025</v>
      </c>
      <c r="N521" s="23" t="s">
        <v>1458</v>
      </c>
      <c r="O521" s="25">
        <f t="shared" si="48"/>
        <v>45890</v>
      </c>
      <c r="P521" s="27">
        <f t="shared" si="52"/>
        <v>0</v>
      </c>
      <c r="Q521" s="27">
        <f t="shared" si="53"/>
        <v>0</v>
      </c>
      <c r="R521" s="28" t="s">
        <v>22</v>
      </c>
      <c r="S521" s="21">
        <v>7695.68</v>
      </c>
      <c r="T521" s="18" t="s">
        <v>23</v>
      </c>
      <c r="U521" s="14"/>
    </row>
    <row r="522" spans="1:21" x14ac:dyDescent="0.2">
      <c r="A522" s="17">
        <v>520</v>
      </c>
      <c r="B522" s="18" t="s">
        <v>2250</v>
      </c>
      <c r="C522" s="19" t="s">
        <v>2251</v>
      </c>
      <c r="D522" s="20" t="s">
        <v>2252</v>
      </c>
      <c r="E522" s="21">
        <v>70000</v>
      </c>
      <c r="F522" s="20" t="s">
        <v>21</v>
      </c>
      <c r="G522" s="20" t="s">
        <v>21</v>
      </c>
      <c r="H522" s="22" t="s">
        <v>1189</v>
      </c>
      <c r="I522" s="23" t="s">
        <v>1341</v>
      </c>
      <c r="J522" s="24" t="s">
        <v>1239</v>
      </c>
      <c r="K522" s="25">
        <f t="shared" si="49"/>
        <v>45875</v>
      </c>
      <c r="L522" s="26" t="str">
        <f t="shared" si="50"/>
        <v>Aug 25</v>
      </c>
      <c r="M522" s="26" t="str">
        <f t="shared" si="51"/>
        <v>2025</v>
      </c>
      <c r="N522" s="23" t="s">
        <v>1458</v>
      </c>
      <c r="O522" s="25">
        <f t="shared" si="48"/>
        <v>45890</v>
      </c>
      <c r="P522" s="27">
        <f t="shared" si="52"/>
        <v>0</v>
      </c>
      <c r="Q522" s="27">
        <f t="shared" si="53"/>
        <v>0</v>
      </c>
      <c r="R522" s="28" t="s">
        <v>22</v>
      </c>
      <c r="S522" s="21">
        <v>4815</v>
      </c>
      <c r="T522" s="18" t="s">
        <v>23</v>
      </c>
      <c r="U522" s="14"/>
    </row>
    <row r="523" spans="1:21" x14ac:dyDescent="0.2">
      <c r="A523" s="17">
        <v>521</v>
      </c>
      <c r="B523" s="18" t="s">
        <v>2253</v>
      </c>
      <c r="C523" s="19" t="s">
        <v>2254</v>
      </c>
      <c r="D523" s="20" t="s">
        <v>2255</v>
      </c>
      <c r="E523" s="21">
        <v>28000</v>
      </c>
      <c r="F523" s="20" t="s">
        <v>2256</v>
      </c>
      <c r="G523" s="20" t="s">
        <v>21</v>
      </c>
      <c r="H523" s="22" t="s">
        <v>110</v>
      </c>
      <c r="I523" s="23" t="s">
        <v>961</v>
      </c>
      <c r="J523" s="24" t="s">
        <v>2257</v>
      </c>
      <c r="K523" s="25">
        <f t="shared" si="49"/>
        <v>45801</v>
      </c>
      <c r="L523" s="26" t="str">
        <f t="shared" si="50"/>
        <v>May 25</v>
      </c>
      <c r="M523" s="26" t="str">
        <f t="shared" si="51"/>
        <v>2025</v>
      </c>
      <c r="N523" s="23" t="s">
        <v>1458</v>
      </c>
      <c r="O523" s="25">
        <f t="shared" si="48"/>
        <v>45890</v>
      </c>
      <c r="P523" s="27">
        <f t="shared" si="52"/>
        <v>2</v>
      </c>
      <c r="Q523" s="27">
        <f t="shared" si="53"/>
        <v>0</v>
      </c>
      <c r="R523" s="28" t="s">
        <v>22</v>
      </c>
      <c r="S523" s="21">
        <v>14200</v>
      </c>
      <c r="T523" s="18" t="s">
        <v>23</v>
      </c>
      <c r="U523" s="14"/>
    </row>
    <row r="524" spans="1:21" x14ac:dyDescent="0.2">
      <c r="A524" s="17">
        <v>522</v>
      </c>
      <c r="B524" s="18" t="s">
        <v>2258</v>
      </c>
      <c r="C524" s="19" t="s">
        <v>2259</v>
      </c>
      <c r="D524" s="20" t="s">
        <v>2260</v>
      </c>
      <c r="E524" s="21">
        <v>110000</v>
      </c>
      <c r="F524" s="20" t="s">
        <v>21</v>
      </c>
      <c r="G524" s="20" t="s">
        <v>2261</v>
      </c>
      <c r="H524" s="22" t="s">
        <v>1202</v>
      </c>
      <c r="I524" s="23" t="s">
        <v>259</v>
      </c>
      <c r="J524" s="24" t="s">
        <v>1190</v>
      </c>
      <c r="K524" s="25">
        <f t="shared" si="49"/>
        <v>45882</v>
      </c>
      <c r="L524" s="26" t="str">
        <f t="shared" si="50"/>
        <v>Aug 25</v>
      </c>
      <c r="M524" s="26" t="str">
        <f t="shared" si="51"/>
        <v>2025</v>
      </c>
      <c r="N524" s="23" t="s">
        <v>1261</v>
      </c>
      <c r="O524" s="25">
        <f t="shared" si="48"/>
        <v>45894</v>
      </c>
      <c r="P524" s="27">
        <f t="shared" si="52"/>
        <v>0</v>
      </c>
      <c r="Q524" s="27">
        <f t="shared" si="53"/>
        <v>0</v>
      </c>
      <c r="R524" s="28" t="s">
        <v>65</v>
      </c>
      <c r="S524" s="21">
        <v>18165</v>
      </c>
      <c r="T524" s="18" t="s">
        <v>23</v>
      </c>
      <c r="U524" s="14"/>
    </row>
    <row r="525" spans="1:21" x14ac:dyDescent="0.2">
      <c r="A525" s="17">
        <v>523</v>
      </c>
      <c r="B525" s="18" t="s">
        <v>2262</v>
      </c>
      <c r="C525" s="19" t="s">
        <v>2263</v>
      </c>
      <c r="D525" s="20" t="s">
        <v>2264</v>
      </c>
      <c r="E525" s="21">
        <v>120000</v>
      </c>
      <c r="F525" s="20" t="s">
        <v>21</v>
      </c>
      <c r="G525" s="20" t="s">
        <v>21</v>
      </c>
      <c r="H525" s="22" t="s">
        <v>595</v>
      </c>
      <c r="I525" s="23" t="s">
        <v>517</v>
      </c>
      <c r="J525" s="24" t="s">
        <v>1281</v>
      </c>
      <c r="K525" s="25">
        <f t="shared" si="49"/>
        <v>45902</v>
      </c>
      <c r="L525" s="26" t="str">
        <f t="shared" si="50"/>
        <v>Sep 25</v>
      </c>
      <c r="M525" s="26" t="str">
        <f t="shared" si="51"/>
        <v>2025</v>
      </c>
      <c r="N525" s="23" t="s">
        <v>1368</v>
      </c>
      <c r="O525" s="25">
        <f t="shared" si="48"/>
        <v>45917</v>
      </c>
      <c r="P525" s="27">
        <f t="shared" si="52"/>
        <v>0</v>
      </c>
      <c r="Q525" s="27">
        <f t="shared" si="53"/>
        <v>0</v>
      </c>
      <c r="R525" s="28" t="s">
        <v>22</v>
      </c>
      <c r="S525" s="21">
        <v>4320</v>
      </c>
      <c r="T525" s="18" t="s">
        <v>23</v>
      </c>
      <c r="U525" s="14"/>
    </row>
    <row r="526" spans="1:21" x14ac:dyDescent="0.2">
      <c r="A526" s="17">
        <v>524</v>
      </c>
      <c r="B526" s="18" t="s">
        <v>2265</v>
      </c>
      <c r="C526" s="19" t="s">
        <v>2266</v>
      </c>
      <c r="D526" s="20" t="s">
        <v>2267</v>
      </c>
      <c r="E526" s="21">
        <v>100000</v>
      </c>
      <c r="F526" s="20" t="s">
        <v>2268</v>
      </c>
      <c r="G526" s="20"/>
      <c r="H526" s="22">
        <v>45667</v>
      </c>
      <c r="I526" s="23">
        <v>46033</v>
      </c>
      <c r="J526" s="24">
        <v>45879</v>
      </c>
      <c r="K526" s="25">
        <f t="shared" si="49"/>
        <v>1455719</v>
      </c>
      <c r="L526" s="26" t="str">
        <f t="shared" si="50"/>
        <v>Aug 85</v>
      </c>
      <c r="M526" s="26" t="str">
        <f t="shared" si="51"/>
        <v>5885</v>
      </c>
      <c r="N526" s="23" t="s">
        <v>1490</v>
      </c>
      <c r="O526" s="25">
        <f t="shared" si="48"/>
        <v>45937</v>
      </c>
      <c r="P526" s="27" t="e">
        <f t="shared" si="52"/>
        <v>#NUM!</v>
      </c>
      <c r="Q526" s="27">
        <f t="shared" si="53"/>
        <v>-3860</v>
      </c>
      <c r="R526" s="28" t="s">
        <v>2269</v>
      </c>
      <c r="S526" s="21">
        <v>117000</v>
      </c>
      <c r="T526" s="18" t="s">
        <v>23</v>
      </c>
      <c r="U526" s="14"/>
    </row>
    <row r="527" spans="1:21" x14ac:dyDescent="0.2">
      <c r="A527" s="17">
        <v>525</v>
      </c>
      <c r="B527" s="18" t="s">
        <v>2195</v>
      </c>
      <c r="C527" s="19" t="s">
        <v>2270</v>
      </c>
      <c r="D527" s="20" t="s">
        <v>2271</v>
      </c>
      <c r="E527" s="21">
        <v>120000</v>
      </c>
      <c r="F527" s="20" t="s">
        <v>2272</v>
      </c>
      <c r="G527" s="20" t="s">
        <v>21</v>
      </c>
      <c r="H527" s="22" t="s">
        <v>589</v>
      </c>
      <c r="I527" s="23" t="s">
        <v>2198</v>
      </c>
      <c r="J527" s="24" t="s">
        <v>703</v>
      </c>
      <c r="K527" s="25">
        <f t="shared" si="49"/>
        <v>45745</v>
      </c>
      <c r="L527" s="26" t="str">
        <f t="shared" si="50"/>
        <v>Mar 25</v>
      </c>
      <c r="M527" s="26" t="str">
        <f t="shared" si="51"/>
        <v>2025</v>
      </c>
      <c r="N527" s="23" t="s">
        <v>612</v>
      </c>
      <c r="O527" s="25">
        <f t="shared" si="48"/>
        <v>45752</v>
      </c>
      <c r="P527" s="27">
        <f t="shared" si="52"/>
        <v>0</v>
      </c>
      <c r="Q527" s="27">
        <f t="shared" si="53"/>
        <v>0</v>
      </c>
      <c r="R527" s="28" t="s">
        <v>22</v>
      </c>
      <c r="S527" s="21">
        <v>45486</v>
      </c>
      <c r="T527" s="18" t="s">
        <v>23</v>
      </c>
      <c r="U527" s="14"/>
    </row>
    <row r="528" spans="1:21" x14ac:dyDescent="0.2">
      <c r="A528" s="17">
        <v>526</v>
      </c>
      <c r="B528" s="18" t="s">
        <v>2273</v>
      </c>
      <c r="C528" s="19" t="s">
        <v>2274</v>
      </c>
      <c r="D528" s="20" t="s">
        <v>2275</v>
      </c>
      <c r="E528" s="21">
        <v>130000</v>
      </c>
      <c r="F528" s="20" t="s">
        <v>21</v>
      </c>
      <c r="G528" s="20" t="s">
        <v>21</v>
      </c>
      <c r="H528" s="22" t="s">
        <v>1022</v>
      </c>
      <c r="I528" s="23" t="s">
        <v>2276</v>
      </c>
      <c r="J528" s="24" t="s">
        <v>1307</v>
      </c>
      <c r="K528" s="25">
        <f t="shared" si="49"/>
        <v>45879</v>
      </c>
      <c r="L528" s="26" t="str">
        <f t="shared" si="50"/>
        <v>Aug 25</v>
      </c>
      <c r="M528" s="26" t="str">
        <f t="shared" si="51"/>
        <v>2025</v>
      </c>
      <c r="N528" s="23" t="s">
        <v>54</v>
      </c>
      <c r="O528" s="25">
        <f t="shared" si="48"/>
        <v>45896</v>
      </c>
      <c r="P528" s="27">
        <f t="shared" si="52"/>
        <v>0</v>
      </c>
      <c r="Q528" s="27">
        <f t="shared" si="53"/>
        <v>0</v>
      </c>
      <c r="R528" s="28" t="s">
        <v>22</v>
      </c>
      <c r="S528" s="21">
        <v>63000</v>
      </c>
      <c r="T528" s="18" t="s">
        <v>23</v>
      </c>
      <c r="U528" s="14"/>
    </row>
    <row r="529" spans="1:21" x14ac:dyDescent="0.2">
      <c r="A529" s="17">
        <v>527</v>
      </c>
      <c r="B529" s="18" t="s">
        <v>2277</v>
      </c>
      <c r="C529" s="19" t="s">
        <v>2278</v>
      </c>
      <c r="D529" s="20" t="s">
        <v>2279</v>
      </c>
      <c r="E529" s="21">
        <v>120000</v>
      </c>
      <c r="F529" s="20" t="s">
        <v>21</v>
      </c>
      <c r="G529" s="20" t="s">
        <v>21</v>
      </c>
      <c r="H529" s="22" t="s">
        <v>1536</v>
      </c>
      <c r="I529" s="23" t="s">
        <v>2280</v>
      </c>
      <c r="J529" s="24" t="s">
        <v>1114</v>
      </c>
      <c r="K529" s="25">
        <f t="shared" si="49"/>
        <v>45868</v>
      </c>
      <c r="L529" s="26" t="str">
        <f t="shared" si="50"/>
        <v>Jul 25</v>
      </c>
      <c r="M529" s="26" t="str">
        <f t="shared" si="51"/>
        <v>2025</v>
      </c>
      <c r="N529" s="23" t="s">
        <v>56</v>
      </c>
      <c r="O529" s="25">
        <f t="shared" si="48"/>
        <v>45979</v>
      </c>
      <c r="P529" s="27">
        <f t="shared" si="52"/>
        <v>3</v>
      </c>
      <c r="Q529" s="27">
        <f t="shared" si="53"/>
        <v>0</v>
      </c>
      <c r="R529" s="28" t="s">
        <v>65</v>
      </c>
      <c r="S529" s="21">
        <v>17100</v>
      </c>
      <c r="T529" s="18" t="s">
        <v>23</v>
      </c>
      <c r="U529" s="14"/>
    </row>
    <row r="530" spans="1:21" x14ac:dyDescent="0.2">
      <c r="A530" s="17">
        <v>528</v>
      </c>
      <c r="B530" s="18" t="s">
        <v>2281</v>
      </c>
      <c r="C530" s="19" t="s">
        <v>2282</v>
      </c>
      <c r="D530" s="20" t="s">
        <v>2283</v>
      </c>
      <c r="E530" s="21" t="s">
        <v>374</v>
      </c>
      <c r="F530" s="20" t="s">
        <v>2284</v>
      </c>
      <c r="G530" s="20" t="s">
        <v>21</v>
      </c>
      <c r="H530" s="22" t="s">
        <v>140</v>
      </c>
      <c r="I530" s="23" t="s">
        <v>141</v>
      </c>
      <c r="J530" s="24">
        <v>4.072025</v>
      </c>
      <c r="K530" s="25">
        <f t="shared" si="49"/>
        <v>47821</v>
      </c>
      <c r="L530" s="26" t="str">
        <f t="shared" si="50"/>
        <v>Dec 30</v>
      </c>
      <c r="M530" s="26" t="str">
        <f t="shared" si="51"/>
        <v>2030</v>
      </c>
      <c r="N530" s="23" t="s">
        <v>1272</v>
      </c>
      <c r="O530" s="25">
        <f t="shared" si="48"/>
        <v>45904</v>
      </c>
      <c r="P530" s="27" t="e">
        <f t="shared" si="52"/>
        <v>#NUM!</v>
      </c>
      <c r="Q530" s="27">
        <f t="shared" si="53"/>
        <v>-5</v>
      </c>
      <c r="R530" s="28" t="s">
        <v>22</v>
      </c>
      <c r="S530" s="21">
        <v>30000</v>
      </c>
      <c r="T530" s="18" t="s">
        <v>23</v>
      </c>
      <c r="U530" s="14"/>
    </row>
    <row r="531" spans="1:21" x14ac:dyDescent="0.2">
      <c r="A531" s="17">
        <v>529</v>
      </c>
      <c r="B531" s="18" t="s">
        <v>2285</v>
      </c>
      <c r="C531" s="19" t="s">
        <v>2286</v>
      </c>
      <c r="D531" s="20" t="s">
        <v>2287</v>
      </c>
      <c r="E531" s="21" t="s">
        <v>2288</v>
      </c>
      <c r="F531" s="20" t="s">
        <v>21</v>
      </c>
      <c r="G531" s="20" t="s">
        <v>21</v>
      </c>
      <c r="H531" s="22" t="s">
        <v>186</v>
      </c>
      <c r="I531" s="23" t="s">
        <v>34</v>
      </c>
      <c r="J531" s="24" t="s">
        <v>1228</v>
      </c>
      <c r="K531" s="25">
        <f t="shared" si="49"/>
        <v>45565</v>
      </c>
      <c r="L531" s="26" t="str">
        <f t="shared" si="50"/>
        <v>Sep 24</v>
      </c>
      <c r="M531" s="26" t="str">
        <f t="shared" si="51"/>
        <v>2024</v>
      </c>
      <c r="N531" s="23" t="s">
        <v>791</v>
      </c>
      <c r="O531" s="25">
        <f t="shared" ref="O531:O594" si="54">DATE(RIGHT(N531,4),MID(N531,4,2),LEFT(N531,2))</f>
        <v>45797</v>
      </c>
      <c r="P531" s="27">
        <f t="shared" si="52"/>
        <v>7</v>
      </c>
      <c r="Q531" s="27">
        <f t="shared" si="53"/>
        <v>1</v>
      </c>
      <c r="R531" s="28" t="s">
        <v>22</v>
      </c>
      <c r="S531" s="21">
        <v>7200</v>
      </c>
      <c r="T531" s="18" t="s">
        <v>23</v>
      </c>
      <c r="U531" s="14"/>
    </row>
    <row r="532" spans="1:21" x14ac:dyDescent="0.2">
      <c r="A532" s="17">
        <v>530</v>
      </c>
      <c r="B532" s="18" t="s">
        <v>2285</v>
      </c>
      <c r="C532" s="19" t="s">
        <v>2289</v>
      </c>
      <c r="D532" s="20" t="s">
        <v>2290</v>
      </c>
      <c r="E532" s="21" t="s">
        <v>2288</v>
      </c>
      <c r="F532" s="20" t="s">
        <v>21</v>
      </c>
      <c r="G532" s="20" t="s">
        <v>21</v>
      </c>
      <c r="H532" s="22" t="s">
        <v>186</v>
      </c>
      <c r="I532" s="23" t="s">
        <v>34</v>
      </c>
      <c r="J532" s="24" t="s">
        <v>636</v>
      </c>
      <c r="K532" s="25">
        <f t="shared" si="49"/>
        <v>45753</v>
      </c>
      <c r="L532" s="26" t="str">
        <f t="shared" si="50"/>
        <v>Apr 25</v>
      </c>
      <c r="M532" s="26" t="str">
        <f t="shared" si="51"/>
        <v>2025</v>
      </c>
      <c r="N532" s="23" t="s">
        <v>791</v>
      </c>
      <c r="O532" s="25">
        <f t="shared" si="54"/>
        <v>45797</v>
      </c>
      <c r="P532" s="27">
        <f t="shared" si="52"/>
        <v>1</v>
      </c>
      <c r="Q532" s="27">
        <f t="shared" si="53"/>
        <v>0</v>
      </c>
      <c r="R532" s="28" t="s">
        <v>22</v>
      </c>
      <c r="S532" s="21">
        <v>3690</v>
      </c>
      <c r="T532" s="18" t="s">
        <v>23</v>
      </c>
      <c r="U532" s="14"/>
    </row>
    <row r="533" spans="1:21" x14ac:dyDescent="0.2">
      <c r="A533" s="17">
        <v>531</v>
      </c>
      <c r="B533" s="18" t="s">
        <v>2291</v>
      </c>
      <c r="C533" s="19" t="s">
        <v>2292</v>
      </c>
      <c r="D533" s="20" t="s">
        <v>2293</v>
      </c>
      <c r="E533" s="21" t="s">
        <v>2294</v>
      </c>
      <c r="F533" s="20" t="s">
        <v>21</v>
      </c>
      <c r="G533" s="20" t="s">
        <v>21</v>
      </c>
      <c r="H533" s="22" t="s">
        <v>2295</v>
      </c>
      <c r="I533" s="23" t="s">
        <v>141</v>
      </c>
      <c r="J533" s="24" t="s">
        <v>727</v>
      </c>
      <c r="K533" s="25">
        <f t="shared" si="49"/>
        <v>45789</v>
      </c>
      <c r="L533" s="26" t="str">
        <f t="shared" si="50"/>
        <v>May 25</v>
      </c>
      <c r="M533" s="26" t="str">
        <f t="shared" si="51"/>
        <v>2025</v>
      </c>
      <c r="N533" s="23" t="s">
        <v>1290</v>
      </c>
      <c r="O533" s="25">
        <f t="shared" si="54"/>
        <v>45903</v>
      </c>
      <c r="P533" s="27">
        <f t="shared" si="52"/>
        <v>3</v>
      </c>
      <c r="Q533" s="27">
        <f t="shared" si="53"/>
        <v>0</v>
      </c>
      <c r="R533" s="28" t="s">
        <v>22</v>
      </c>
      <c r="S533" s="21">
        <v>21924</v>
      </c>
      <c r="T533" s="18" t="s">
        <v>23</v>
      </c>
      <c r="U533" s="14"/>
    </row>
    <row r="534" spans="1:21" x14ac:dyDescent="0.2">
      <c r="A534" s="17">
        <v>532</v>
      </c>
      <c r="B534" s="18" t="s">
        <v>2296</v>
      </c>
      <c r="C534" s="68" t="s">
        <v>2297</v>
      </c>
      <c r="D534" s="69" t="s">
        <v>2298</v>
      </c>
      <c r="E534" s="70" t="s">
        <v>374</v>
      </c>
      <c r="F534" s="69" t="s">
        <v>21</v>
      </c>
      <c r="G534" s="69" t="s">
        <v>2299</v>
      </c>
      <c r="H534" s="71" t="s">
        <v>2300</v>
      </c>
      <c r="I534" s="71" t="s">
        <v>2301</v>
      </c>
      <c r="J534" s="24" t="s">
        <v>2302</v>
      </c>
      <c r="K534" s="25">
        <f t="shared" si="49"/>
        <v>45067</v>
      </c>
      <c r="L534" s="26" t="str">
        <f t="shared" si="50"/>
        <v>May 23</v>
      </c>
      <c r="M534" s="26" t="str">
        <f t="shared" si="51"/>
        <v>2023</v>
      </c>
      <c r="N534" s="23" t="s">
        <v>1127</v>
      </c>
      <c r="O534" s="25">
        <f t="shared" si="54"/>
        <v>45673</v>
      </c>
      <c r="P534" s="27">
        <f t="shared" si="52"/>
        <v>19</v>
      </c>
      <c r="Q534" s="27">
        <f t="shared" si="53"/>
        <v>2</v>
      </c>
      <c r="R534" s="28" t="s">
        <v>22</v>
      </c>
      <c r="S534" s="21">
        <v>30000</v>
      </c>
      <c r="T534" s="18" t="s">
        <v>23</v>
      </c>
      <c r="U534" s="14"/>
    </row>
    <row r="535" spans="1:21" x14ac:dyDescent="0.2">
      <c r="A535" s="17">
        <v>533</v>
      </c>
      <c r="B535" s="17" t="s">
        <v>2303</v>
      </c>
      <c r="C535" s="68" t="s">
        <v>2304</v>
      </c>
      <c r="D535" s="69" t="s">
        <v>2305</v>
      </c>
      <c r="E535" s="70">
        <v>169000</v>
      </c>
      <c r="F535" s="69" t="s">
        <v>21</v>
      </c>
      <c r="G535" s="69" t="s">
        <v>21</v>
      </c>
      <c r="H535" s="71" t="s">
        <v>2306</v>
      </c>
      <c r="I535" s="71" t="s">
        <v>1129</v>
      </c>
      <c r="J535" s="72" t="s">
        <v>237</v>
      </c>
      <c r="K535" s="25">
        <f t="shared" si="49"/>
        <v>45655</v>
      </c>
      <c r="L535" s="26" t="str">
        <f t="shared" si="50"/>
        <v>Dec 24</v>
      </c>
      <c r="M535" s="26" t="str">
        <f t="shared" si="51"/>
        <v>2024</v>
      </c>
      <c r="N535" s="71" t="s">
        <v>212</v>
      </c>
      <c r="O535" s="25">
        <f t="shared" si="54"/>
        <v>45684</v>
      </c>
      <c r="P535" s="27">
        <f t="shared" si="52"/>
        <v>0</v>
      </c>
      <c r="Q535" s="27">
        <f t="shared" si="53"/>
        <v>1</v>
      </c>
      <c r="R535" s="17" t="s">
        <v>22</v>
      </c>
      <c r="S535" s="70">
        <v>11520</v>
      </c>
      <c r="T535" s="18" t="s">
        <v>23</v>
      </c>
      <c r="U535" s="14"/>
    </row>
    <row r="536" spans="1:21" x14ac:dyDescent="0.2">
      <c r="A536" s="17">
        <v>534</v>
      </c>
      <c r="B536" s="17" t="s">
        <v>2307</v>
      </c>
      <c r="C536" s="68" t="s">
        <v>2308</v>
      </c>
      <c r="D536" s="69" t="s">
        <v>2309</v>
      </c>
      <c r="E536" s="70">
        <v>170000</v>
      </c>
      <c r="F536" s="69" t="s">
        <v>2310</v>
      </c>
      <c r="G536" s="69" t="s">
        <v>21</v>
      </c>
      <c r="H536" s="71" t="s">
        <v>1010</v>
      </c>
      <c r="I536" s="71" t="s">
        <v>1011</v>
      </c>
      <c r="J536" s="72" t="s">
        <v>99</v>
      </c>
      <c r="K536" s="25">
        <f t="shared" si="49"/>
        <v>45677</v>
      </c>
      <c r="L536" s="26" t="str">
        <f t="shared" si="50"/>
        <v>Jan 25</v>
      </c>
      <c r="M536" s="26" t="str">
        <f t="shared" si="51"/>
        <v>2025</v>
      </c>
      <c r="N536" s="71" t="s">
        <v>212</v>
      </c>
      <c r="O536" s="25">
        <f t="shared" si="54"/>
        <v>45684</v>
      </c>
      <c r="P536" s="27">
        <f t="shared" si="52"/>
        <v>0</v>
      </c>
      <c r="Q536" s="27">
        <f t="shared" si="53"/>
        <v>0</v>
      </c>
      <c r="R536" s="17" t="s">
        <v>22</v>
      </c>
      <c r="S536" s="70">
        <v>21375</v>
      </c>
      <c r="T536" s="18" t="s">
        <v>23</v>
      </c>
      <c r="U536" s="14"/>
    </row>
    <row r="537" spans="1:21" x14ac:dyDescent="0.2">
      <c r="A537" s="17">
        <v>535</v>
      </c>
      <c r="B537" s="17" t="s">
        <v>2311</v>
      </c>
      <c r="C537" s="19" t="s">
        <v>2312</v>
      </c>
      <c r="D537" s="20" t="s">
        <v>2313</v>
      </c>
      <c r="E537" s="21">
        <v>100000</v>
      </c>
      <c r="F537" s="20" t="s">
        <v>2314</v>
      </c>
      <c r="G537" s="20" t="s">
        <v>21</v>
      </c>
      <c r="H537" s="22" t="s">
        <v>2315</v>
      </c>
      <c r="I537" s="23" t="s">
        <v>790</v>
      </c>
      <c r="J537" s="72" t="s">
        <v>403</v>
      </c>
      <c r="K537" s="25">
        <f t="shared" si="49"/>
        <v>45716</v>
      </c>
      <c r="L537" s="26" t="str">
        <f t="shared" si="50"/>
        <v>Feb 25</v>
      </c>
      <c r="M537" s="26" t="str">
        <f t="shared" si="51"/>
        <v>2025</v>
      </c>
      <c r="N537" s="71" t="s">
        <v>437</v>
      </c>
      <c r="O537" s="25">
        <f t="shared" si="54"/>
        <v>45722</v>
      </c>
      <c r="P537" s="27">
        <f t="shared" si="52"/>
        <v>0</v>
      </c>
      <c r="Q537" s="27">
        <f t="shared" si="53"/>
        <v>0</v>
      </c>
      <c r="R537" s="17" t="s">
        <v>22</v>
      </c>
      <c r="S537" s="70">
        <v>15750</v>
      </c>
      <c r="T537" s="18" t="s">
        <v>23</v>
      </c>
      <c r="U537" s="14"/>
    </row>
    <row r="538" spans="1:21" x14ac:dyDescent="0.2">
      <c r="A538" s="17">
        <v>536</v>
      </c>
      <c r="B538" s="18" t="s">
        <v>2316</v>
      </c>
      <c r="C538" s="19" t="s">
        <v>2317</v>
      </c>
      <c r="D538" s="20" t="s">
        <v>2318</v>
      </c>
      <c r="E538" s="21">
        <v>20000</v>
      </c>
      <c r="F538" s="20" t="s">
        <v>21</v>
      </c>
      <c r="G538" s="20" t="s">
        <v>21</v>
      </c>
      <c r="H538" s="22" t="s">
        <v>2319</v>
      </c>
      <c r="I538" s="23" t="s">
        <v>1362</v>
      </c>
      <c r="J538" s="24" t="s">
        <v>247</v>
      </c>
      <c r="K538" s="25">
        <f t="shared" si="49"/>
        <v>45630</v>
      </c>
      <c r="L538" s="26" t="str">
        <f t="shared" si="50"/>
        <v>Dec 24</v>
      </c>
      <c r="M538" s="26" t="str">
        <f t="shared" si="51"/>
        <v>2024</v>
      </c>
      <c r="N538" s="23" t="s">
        <v>436</v>
      </c>
      <c r="O538" s="25">
        <f t="shared" si="54"/>
        <v>45726</v>
      </c>
      <c r="P538" s="27">
        <f t="shared" si="52"/>
        <v>3</v>
      </c>
      <c r="Q538" s="27">
        <f t="shared" si="53"/>
        <v>1</v>
      </c>
      <c r="R538" s="28" t="s">
        <v>22</v>
      </c>
      <c r="S538" s="21">
        <v>5310</v>
      </c>
      <c r="T538" s="18" t="s">
        <v>23</v>
      </c>
      <c r="U538" s="14"/>
    </row>
    <row r="539" spans="1:21" x14ac:dyDescent="0.2">
      <c r="A539" s="17">
        <v>537</v>
      </c>
      <c r="B539" s="18" t="s">
        <v>2320</v>
      </c>
      <c r="C539" s="19" t="s">
        <v>2321</v>
      </c>
      <c r="D539" s="20" t="s">
        <v>2322</v>
      </c>
      <c r="E539" s="21">
        <v>70000</v>
      </c>
      <c r="F539" s="20" t="s">
        <v>21</v>
      </c>
      <c r="G539" s="20" t="s">
        <v>21</v>
      </c>
      <c r="H539" s="22" t="s">
        <v>235</v>
      </c>
      <c r="I539" s="23" t="s">
        <v>303</v>
      </c>
      <c r="J539" s="24" t="s">
        <v>394</v>
      </c>
      <c r="K539" s="25">
        <f t="shared" si="49"/>
        <v>45693</v>
      </c>
      <c r="L539" s="26" t="str">
        <f t="shared" si="50"/>
        <v>Feb 25</v>
      </c>
      <c r="M539" s="26" t="str">
        <f t="shared" si="51"/>
        <v>2025</v>
      </c>
      <c r="N539" s="23" t="s">
        <v>512</v>
      </c>
      <c r="O539" s="25">
        <f t="shared" si="54"/>
        <v>45743</v>
      </c>
      <c r="P539" s="27">
        <f t="shared" si="52"/>
        <v>1</v>
      </c>
      <c r="Q539" s="27">
        <f t="shared" si="53"/>
        <v>0</v>
      </c>
      <c r="R539" s="28" t="s">
        <v>22</v>
      </c>
      <c r="S539" s="21">
        <v>2700</v>
      </c>
      <c r="T539" s="18" t="s">
        <v>23</v>
      </c>
      <c r="U539" s="14"/>
    </row>
    <row r="540" spans="1:21" x14ac:dyDescent="0.2">
      <c r="A540" s="17">
        <v>538</v>
      </c>
      <c r="B540" s="18" t="s">
        <v>2323</v>
      </c>
      <c r="C540" s="19" t="s">
        <v>2324</v>
      </c>
      <c r="D540" s="20" t="s">
        <v>2325</v>
      </c>
      <c r="E540" s="21">
        <v>60000</v>
      </c>
      <c r="F540" s="20" t="s">
        <v>2326</v>
      </c>
      <c r="G540" s="20" t="s">
        <v>21</v>
      </c>
      <c r="H540" s="22" t="s">
        <v>2327</v>
      </c>
      <c r="I540" s="23" t="s">
        <v>1056</v>
      </c>
      <c r="J540" s="24" t="s">
        <v>802</v>
      </c>
      <c r="K540" s="25">
        <f t="shared" si="49"/>
        <v>45798</v>
      </c>
      <c r="L540" s="26" t="str">
        <f t="shared" si="50"/>
        <v>May 25</v>
      </c>
      <c r="M540" s="26" t="str">
        <f t="shared" si="51"/>
        <v>2025</v>
      </c>
      <c r="N540" s="23" t="s">
        <v>878</v>
      </c>
      <c r="O540" s="25">
        <f t="shared" si="54"/>
        <v>45813</v>
      </c>
      <c r="P540" s="27">
        <f t="shared" si="52"/>
        <v>0</v>
      </c>
      <c r="Q540" s="27">
        <f t="shared" si="53"/>
        <v>0</v>
      </c>
      <c r="R540" s="28" t="s">
        <v>22</v>
      </c>
      <c r="S540" s="21">
        <v>6570</v>
      </c>
      <c r="T540" s="18" t="s">
        <v>23</v>
      </c>
      <c r="U540" s="14"/>
    </row>
    <row r="541" spans="1:21" x14ac:dyDescent="0.2">
      <c r="A541" s="17">
        <v>539</v>
      </c>
      <c r="B541" s="18" t="s">
        <v>2328</v>
      </c>
      <c r="C541" s="19" t="s">
        <v>2329</v>
      </c>
      <c r="D541" s="20" t="s">
        <v>2330</v>
      </c>
      <c r="E541" s="21">
        <v>120000</v>
      </c>
      <c r="F541" s="20" t="s">
        <v>21</v>
      </c>
      <c r="G541" s="20" t="s">
        <v>21</v>
      </c>
      <c r="H541" s="22" t="s">
        <v>143</v>
      </c>
      <c r="I541" s="23" t="s">
        <v>635</v>
      </c>
      <c r="J541" s="24" t="s">
        <v>943</v>
      </c>
      <c r="K541" s="25">
        <f t="shared" si="49"/>
        <v>45822</v>
      </c>
      <c r="L541" s="26" t="str">
        <f t="shared" si="50"/>
        <v>Jun 25</v>
      </c>
      <c r="M541" s="26" t="str">
        <f t="shared" si="51"/>
        <v>2025</v>
      </c>
      <c r="N541" s="23" t="s">
        <v>943</v>
      </c>
      <c r="O541" s="25">
        <f t="shared" si="54"/>
        <v>45822</v>
      </c>
      <c r="P541" s="27">
        <f t="shared" si="52"/>
        <v>0</v>
      </c>
      <c r="Q541" s="27">
        <f t="shared" si="53"/>
        <v>0</v>
      </c>
      <c r="R541" s="28" t="s">
        <v>22</v>
      </c>
      <c r="S541" s="21">
        <v>7200</v>
      </c>
      <c r="T541" s="18" t="s">
        <v>23</v>
      </c>
      <c r="U541" s="14"/>
    </row>
    <row r="542" spans="1:21" x14ac:dyDescent="0.2">
      <c r="A542" s="17">
        <v>540</v>
      </c>
      <c r="B542" s="18" t="s">
        <v>2331</v>
      </c>
      <c r="C542" s="19" t="s">
        <v>2332</v>
      </c>
      <c r="D542" s="20" t="s">
        <v>2333</v>
      </c>
      <c r="E542" s="21">
        <v>188000</v>
      </c>
      <c r="F542" s="20" t="s">
        <v>2334</v>
      </c>
      <c r="G542" s="20" t="s">
        <v>21</v>
      </c>
      <c r="H542" s="22" t="s">
        <v>253</v>
      </c>
      <c r="I542" s="23" t="s">
        <v>981</v>
      </c>
      <c r="J542" s="24" t="s">
        <v>1056</v>
      </c>
      <c r="K542" s="25">
        <f t="shared" si="49"/>
        <v>45847</v>
      </c>
      <c r="L542" s="26" t="str">
        <f t="shared" si="50"/>
        <v>Jul 25</v>
      </c>
      <c r="M542" s="26" t="str">
        <f t="shared" si="51"/>
        <v>2025</v>
      </c>
      <c r="N542" s="23" t="s">
        <v>377</v>
      </c>
      <c r="O542" s="25">
        <f t="shared" si="54"/>
        <v>45795</v>
      </c>
      <c r="P542" s="27" t="e">
        <f t="shared" si="52"/>
        <v>#NUM!</v>
      </c>
      <c r="Q542" s="27">
        <f t="shared" si="53"/>
        <v>0</v>
      </c>
      <c r="R542" s="28" t="s">
        <v>22</v>
      </c>
      <c r="S542" s="21">
        <v>5607</v>
      </c>
      <c r="T542" s="18" t="s">
        <v>23</v>
      </c>
      <c r="U542" s="14"/>
    </row>
    <row r="543" spans="1:21" x14ac:dyDescent="0.2">
      <c r="A543" s="17">
        <v>541</v>
      </c>
      <c r="B543" s="18" t="s">
        <v>2335</v>
      </c>
      <c r="C543" s="19" t="s">
        <v>2336</v>
      </c>
      <c r="D543" s="20" t="s">
        <v>2337</v>
      </c>
      <c r="E543" s="21">
        <v>500000</v>
      </c>
      <c r="F543" s="20" t="s">
        <v>21</v>
      </c>
      <c r="G543" s="20" t="s">
        <v>21</v>
      </c>
      <c r="H543" s="22" t="s">
        <v>167</v>
      </c>
      <c r="I543" s="23" t="s">
        <v>2338</v>
      </c>
      <c r="J543" s="24" t="s">
        <v>2339</v>
      </c>
      <c r="K543" s="25">
        <f t="shared" si="49"/>
        <v>45859</v>
      </c>
      <c r="L543" s="26" t="str">
        <f t="shared" si="50"/>
        <v>Jul 25</v>
      </c>
      <c r="M543" s="26" t="str">
        <f t="shared" si="51"/>
        <v>2025</v>
      </c>
      <c r="N543" s="23" t="s">
        <v>1294</v>
      </c>
      <c r="O543" s="25">
        <f t="shared" si="54"/>
        <v>45898</v>
      </c>
      <c r="P543" s="27">
        <f t="shared" si="52"/>
        <v>1</v>
      </c>
      <c r="Q543" s="27">
        <f t="shared" si="53"/>
        <v>0</v>
      </c>
      <c r="R543" s="28" t="s">
        <v>22</v>
      </c>
      <c r="S543" s="21">
        <v>15525</v>
      </c>
      <c r="T543" s="18" t="s">
        <v>23</v>
      </c>
      <c r="U543" s="14"/>
    </row>
    <row r="544" spans="1:21" x14ac:dyDescent="0.2">
      <c r="A544" s="17">
        <v>542</v>
      </c>
      <c r="B544" s="18" t="s">
        <v>2340</v>
      </c>
      <c r="C544" s="19" t="s">
        <v>2341</v>
      </c>
      <c r="D544" s="20" t="s">
        <v>2342</v>
      </c>
      <c r="E544" s="21">
        <v>100000</v>
      </c>
      <c r="F544" s="20" t="s">
        <v>21</v>
      </c>
      <c r="G544" s="20" t="s">
        <v>21</v>
      </c>
      <c r="H544" s="22" t="s">
        <v>713</v>
      </c>
      <c r="I544" s="23" t="s">
        <v>2343</v>
      </c>
      <c r="J544" s="24" t="s">
        <v>1114</v>
      </c>
      <c r="K544" s="25">
        <f t="shared" si="49"/>
        <v>45868</v>
      </c>
      <c r="L544" s="26" t="str">
        <f t="shared" si="50"/>
        <v>Jul 25</v>
      </c>
      <c r="M544" s="26" t="str">
        <f t="shared" si="51"/>
        <v>2025</v>
      </c>
      <c r="N544" s="23" t="s">
        <v>1294</v>
      </c>
      <c r="O544" s="25">
        <f t="shared" si="54"/>
        <v>45898</v>
      </c>
      <c r="P544" s="27">
        <f t="shared" si="52"/>
        <v>0</v>
      </c>
      <c r="Q544" s="27">
        <f t="shared" si="53"/>
        <v>0</v>
      </c>
      <c r="R544" s="28" t="s">
        <v>22</v>
      </c>
      <c r="S544" s="21">
        <v>21510</v>
      </c>
      <c r="T544" s="18" t="s">
        <v>23</v>
      </c>
      <c r="U544" s="14"/>
    </row>
    <row r="545" spans="1:21" x14ac:dyDescent="0.2">
      <c r="A545" s="17">
        <v>543</v>
      </c>
      <c r="B545" s="18" t="s">
        <v>2344</v>
      </c>
      <c r="C545" s="68" t="s">
        <v>2345</v>
      </c>
      <c r="D545" s="69" t="s">
        <v>2346</v>
      </c>
      <c r="E545" s="70">
        <v>40000</v>
      </c>
      <c r="F545" s="69" t="s">
        <v>21</v>
      </c>
      <c r="G545" s="69" t="s">
        <v>21</v>
      </c>
      <c r="H545" s="71" t="s">
        <v>229</v>
      </c>
      <c r="I545" s="71" t="s">
        <v>2347</v>
      </c>
      <c r="J545" s="24" t="s">
        <v>1211</v>
      </c>
      <c r="K545" s="25">
        <f t="shared" si="49"/>
        <v>45871</v>
      </c>
      <c r="L545" s="26" t="str">
        <f t="shared" si="50"/>
        <v>Aug 25</v>
      </c>
      <c r="M545" s="26" t="str">
        <f t="shared" si="51"/>
        <v>2025</v>
      </c>
      <c r="N545" s="23" t="s">
        <v>1322</v>
      </c>
      <c r="O545" s="25">
        <f t="shared" si="54"/>
        <v>45905</v>
      </c>
      <c r="P545" s="27">
        <f t="shared" si="52"/>
        <v>1</v>
      </c>
      <c r="Q545" s="27">
        <f t="shared" si="53"/>
        <v>0</v>
      </c>
      <c r="R545" s="28" t="s">
        <v>65</v>
      </c>
      <c r="S545" s="21">
        <v>3660</v>
      </c>
      <c r="T545" s="18" t="s">
        <v>23</v>
      </c>
      <c r="U545" s="14"/>
    </row>
    <row r="546" spans="1:21" x14ac:dyDescent="0.2">
      <c r="A546" s="17">
        <v>544</v>
      </c>
      <c r="B546" s="17" t="s">
        <v>2348</v>
      </c>
      <c r="C546" s="19" t="s">
        <v>2349</v>
      </c>
      <c r="D546" s="20" t="s">
        <v>2350</v>
      </c>
      <c r="E546" s="21">
        <v>120000</v>
      </c>
      <c r="F546" s="20" t="s">
        <v>21</v>
      </c>
      <c r="G546" s="20" t="s">
        <v>21</v>
      </c>
      <c r="H546" s="22" t="s">
        <v>1098</v>
      </c>
      <c r="I546" s="23" t="s">
        <v>2351</v>
      </c>
      <c r="J546" s="72" t="s">
        <v>1367</v>
      </c>
      <c r="K546" s="25">
        <f t="shared" si="49"/>
        <v>45906</v>
      </c>
      <c r="L546" s="26" t="str">
        <f t="shared" si="50"/>
        <v>Sep 25</v>
      </c>
      <c r="M546" s="26" t="str">
        <f t="shared" si="51"/>
        <v>2025</v>
      </c>
      <c r="N546" s="71" t="s">
        <v>1482</v>
      </c>
      <c r="O546" s="25">
        <f t="shared" si="54"/>
        <v>45933</v>
      </c>
      <c r="P546" s="27">
        <f t="shared" si="52"/>
        <v>0</v>
      </c>
      <c r="Q546" s="27">
        <f t="shared" si="53"/>
        <v>0</v>
      </c>
      <c r="R546" s="17" t="s">
        <v>2352</v>
      </c>
      <c r="S546" s="70">
        <v>96000</v>
      </c>
      <c r="T546" s="18" t="s">
        <v>23</v>
      </c>
      <c r="U546" s="14"/>
    </row>
    <row r="547" spans="1:21" x14ac:dyDescent="0.2">
      <c r="A547" s="17">
        <v>545</v>
      </c>
      <c r="B547" s="18" t="s">
        <v>2353</v>
      </c>
      <c r="C547" s="19" t="s">
        <v>2354</v>
      </c>
      <c r="D547" s="20" t="s">
        <v>2355</v>
      </c>
      <c r="E547" s="21">
        <v>90000</v>
      </c>
      <c r="F547" s="20" t="s">
        <v>21</v>
      </c>
      <c r="G547" s="20" t="s">
        <v>21</v>
      </c>
      <c r="H547" s="22" t="s">
        <v>118</v>
      </c>
      <c r="I547" s="23" t="s">
        <v>111</v>
      </c>
      <c r="J547" s="24" t="s">
        <v>1154</v>
      </c>
      <c r="K547" s="25">
        <f t="shared" si="49"/>
        <v>45873</v>
      </c>
      <c r="L547" s="26" t="str">
        <f t="shared" si="50"/>
        <v>Aug 25</v>
      </c>
      <c r="M547" s="26" t="str">
        <f t="shared" si="51"/>
        <v>2025</v>
      </c>
      <c r="N547" s="23" t="s">
        <v>1382</v>
      </c>
      <c r="O547" s="25">
        <f t="shared" si="54"/>
        <v>45924</v>
      </c>
      <c r="P547" s="27">
        <f t="shared" si="52"/>
        <v>1</v>
      </c>
      <c r="Q547" s="27">
        <f t="shared" si="53"/>
        <v>0</v>
      </c>
      <c r="R547" s="28" t="s">
        <v>22</v>
      </c>
      <c r="S547" s="21">
        <v>12150</v>
      </c>
      <c r="T547" s="18" t="s">
        <v>23</v>
      </c>
      <c r="U547" s="14"/>
    </row>
    <row r="548" spans="1:21" x14ac:dyDescent="0.2">
      <c r="A548" s="17">
        <v>546</v>
      </c>
      <c r="B548" s="18" t="s">
        <v>2356</v>
      </c>
      <c r="C548" s="19" t="s">
        <v>2357</v>
      </c>
      <c r="D548" s="20" t="s">
        <v>2358</v>
      </c>
      <c r="E548" s="21">
        <v>80000</v>
      </c>
      <c r="F548" s="20" t="s">
        <v>21</v>
      </c>
      <c r="G548" s="20" t="s">
        <v>21</v>
      </c>
      <c r="H548" s="22" t="s">
        <v>2359</v>
      </c>
      <c r="I548" s="23" t="s">
        <v>1211</v>
      </c>
      <c r="J548" s="24" t="s">
        <v>1165</v>
      </c>
      <c r="K548" s="25">
        <f t="shared" si="49"/>
        <v>45865</v>
      </c>
      <c r="L548" s="26" t="str">
        <f t="shared" si="50"/>
        <v>Jul 25</v>
      </c>
      <c r="M548" s="26" t="str">
        <f t="shared" si="51"/>
        <v>2025</v>
      </c>
      <c r="N548" s="23" t="s">
        <v>1688</v>
      </c>
      <c r="O548" s="25">
        <f t="shared" si="54"/>
        <v>46001</v>
      </c>
      <c r="P548" s="27">
        <f t="shared" si="52"/>
        <v>4</v>
      </c>
      <c r="Q548" s="27">
        <f t="shared" si="53"/>
        <v>0</v>
      </c>
      <c r="R548" s="28" t="s">
        <v>894</v>
      </c>
      <c r="S548" s="21">
        <v>0</v>
      </c>
      <c r="T548" s="18" t="s">
        <v>23</v>
      </c>
      <c r="U548" s="14"/>
    </row>
    <row r="549" spans="1:21" x14ac:dyDescent="0.2">
      <c r="A549" s="17">
        <v>547</v>
      </c>
      <c r="B549" s="18" t="s">
        <v>2360</v>
      </c>
      <c r="C549" s="19" t="s">
        <v>2361</v>
      </c>
      <c r="D549" s="20" t="s">
        <v>2362</v>
      </c>
      <c r="E549" s="21">
        <v>500000</v>
      </c>
      <c r="F549" s="20" t="s">
        <v>21</v>
      </c>
      <c r="G549" s="20" t="s">
        <v>21</v>
      </c>
      <c r="H549" s="22" t="s">
        <v>423</v>
      </c>
      <c r="I549" s="23" t="s">
        <v>113</v>
      </c>
      <c r="J549" s="24" t="s">
        <v>1031</v>
      </c>
      <c r="K549" s="25">
        <f t="shared" si="49"/>
        <v>45989</v>
      </c>
      <c r="L549" s="26" t="str">
        <f t="shared" si="50"/>
        <v>Nov 25</v>
      </c>
      <c r="M549" s="26" t="str">
        <f t="shared" si="51"/>
        <v>2025</v>
      </c>
      <c r="N549" s="23" t="s">
        <v>1571</v>
      </c>
      <c r="O549" s="25">
        <f t="shared" si="54"/>
        <v>45965</v>
      </c>
      <c r="P549" s="27" t="e">
        <f t="shared" si="52"/>
        <v>#NUM!</v>
      </c>
      <c r="Q549" s="27">
        <f t="shared" si="53"/>
        <v>0</v>
      </c>
      <c r="R549" s="28" t="s">
        <v>65</v>
      </c>
      <c r="S549" s="21">
        <v>19620</v>
      </c>
      <c r="T549" s="18" t="s">
        <v>23</v>
      </c>
      <c r="U549" s="14"/>
    </row>
    <row r="550" spans="1:21" x14ac:dyDescent="0.2">
      <c r="A550" s="17">
        <v>548</v>
      </c>
      <c r="B550" s="18" t="s">
        <v>2363</v>
      </c>
      <c r="C550" s="19" t="s">
        <v>2364</v>
      </c>
      <c r="D550" s="20" t="s">
        <v>2365</v>
      </c>
      <c r="E550" s="21">
        <v>60000</v>
      </c>
      <c r="F550" s="20" t="s">
        <v>21</v>
      </c>
      <c r="G550" s="20" t="s">
        <v>21</v>
      </c>
      <c r="H550" s="22" t="s">
        <v>2366</v>
      </c>
      <c r="I550" s="23" t="s">
        <v>2367</v>
      </c>
      <c r="J550" s="24" t="s">
        <v>310</v>
      </c>
      <c r="K550" s="25">
        <f t="shared" si="49"/>
        <v>45644</v>
      </c>
      <c r="L550" s="26" t="str">
        <f t="shared" si="50"/>
        <v>Dec 24</v>
      </c>
      <c r="M550" s="26" t="str">
        <f t="shared" si="51"/>
        <v>2024</v>
      </c>
      <c r="N550" s="23" t="s">
        <v>120</v>
      </c>
      <c r="O550" s="25">
        <f t="shared" si="54"/>
        <v>45660</v>
      </c>
      <c r="P550" s="27">
        <f t="shared" si="52"/>
        <v>0</v>
      </c>
      <c r="Q550" s="27">
        <f t="shared" si="53"/>
        <v>1</v>
      </c>
      <c r="R550" s="28" t="s">
        <v>22</v>
      </c>
      <c r="S550" s="21">
        <v>3450</v>
      </c>
      <c r="T550" s="18" t="s">
        <v>23</v>
      </c>
      <c r="U550" s="14"/>
    </row>
    <row r="551" spans="1:21" x14ac:dyDescent="0.2">
      <c r="A551" s="17">
        <v>549</v>
      </c>
      <c r="B551" s="18" t="s">
        <v>2368</v>
      </c>
      <c r="C551" s="19" t="s">
        <v>2369</v>
      </c>
      <c r="D551" s="20" t="s">
        <v>2370</v>
      </c>
      <c r="E551" s="21">
        <v>200000</v>
      </c>
      <c r="F551" s="20" t="s">
        <v>21</v>
      </c>
      <c r="G551" s="20" t="s">
        <v>21</v>
      </c>
      <c r="H551" s="22" t="s">
        <v>2371</v>
      </c>
      <c r="I551" s="23" t="s">
        <v>310</v>
      </c>
      <c r="J551" s="24" t="s">
        <v>339</v>
      </c>
      <c r="K551" s="25">
        <f t="shared" si="49"/>
        <v>45586</v>
      </c>
      <c r="L551" s="26" t="str">
        <f t="shared" si="50"/>
        <v>Oct 24</v>
      </c>
      <c r="M551" s="26" t="str">
        <f t="shared" si="51"/>
        <v>2024</v>
      </c>
      <c r="N551" s="23" t="s">
        <v>120</v>
      </c>
      <c r="O551" s="25">
        <f t="shared" si="54"/>
        <v>45660</v>
      </c>
      <c r="P551" s="27">
        <f t="shared" si="52"/>
        <v>2</v>
      </c>
      <c r="Q551" s="27">
        <f t="shared" si="53"/>
        <v>1</v>
      </c>
      <c r="R551" s="28" t="s">
        <v>22</v>
      </c>
      <c r="S551" s="21">
        <v>160500</v>
      </c>
      <c r="T551" s="18" t="s">
        <v>23</v>
      </c>
      <c r="U551" s="14"/>
    </row>
    <row r="552" spans="1:21" x14ac:dyDescent="0.2">
      <c r="A552" s="17">
        <v>550</v>
      </c>
      <c r="B552" s="18" t="s">
        <v>2372</v>
      </c>
      <c r="C552" s="19" t="s">
        <v>2373</v>
      </c>
      <c r="D552" s="20" t="s">
        <v>2374</v>
      </c>
      <c r="E552" s="21">
        <v>120000</v>
      </c>
      <c r="F552" s="20" t="s">
        <v>21</v>
      </c>
      <c r="G552" s="20" t="s">
        <v>21</v>
      </c>
      <c r="H552" s="22" t="s">
        <v>463</v>
      </c>
      <c r="I552" s="23" t="s">
        <v>464</v>
      </c>
      <c r="J552" s="24" t="s">
        <v>237</v>
      </c>
      <c r="K552" s="25">
        <f t="shared" si="49"/>
        <v>45655</v>
      </c>
      <c r="L552" s="26" t="str">
        <f t="shared" si="50"/>
        <v>Dec 24</v>
      </c>
      <c r="M552" s="26" t="str">
        <f t="shared" si="51"/>
        <v>2024</v>
      </c>
      <c r="N552" s="23" t="s">
        <v>212</v>
      </c>
      <c r="O552" s="25">
        <f t="shared" si="54"/>
        <v>45684</v>
      </c>
      <c r="P552" s="27">
        <f t="shared" si="52"/>
        <v>0</v>
      </c>
      <c r="Q552" s="27">
        <f t="shared" si="53"/>
        <v>1</v>
      </c>
      <c r="R552" s="28" t="s">
        <v>894</v>
      </c>
      <c r="S552" s="21">
        <v>0</v>
      </c>
      <c r="T552" s="18" t="s">
        <v>23</v>
      </c>
      <c r="U552" s="14"/>
    </row>
    <row r="553" spans="1:21" x14ac:dyDescent="0.2">
      <c r="A553" s="17">
        <v>551</v>
      </c>
      <c r="B553" s="18" t="s">
        <v>2375</v>
      </c>
      <c r="C553" s="19" t="s">
        <v>2376</v>
      </c>
      <c r="D553" s="20" t="s">
        <v>2377</v>
      </c>
      <c r="E553" s="21">
        <v>60000</v>
      </c>
      <c r="F553" s="20" t="s">
        <v>21</v>
      </c>
      <c r="G553" s="20" t="s">
        <v>21</v>
      </c>
      <c r="H553" s="22" t="s">
        <v>2378</v>
      </c>
      <c r="I553" s="23" t="s">
        <v>1075</v>
      </c>
      <c r="J553" s="24" t="s">
        <v>611</v>
      </c>
      <c r="K553" s="25">
        <f t="shared" si="49"/>
        <v>45754</v>
      </c>
      <c r="L553" s="26" t="str">
        <f t="shared" si="50"/>
        <v>Apr 25</v>
      </c>
      <c r="M553" s="26" t="str">
        <f t="shared" si="51"/>
        <v>2025</v>
      </c>
      <c r="N553" s="23" t="s">
        <v>172</v>
      </c>
      <c r="O553" s="25">
        <f t="shared" si="54"/>
        <v>45756</v>
      </c>
      <c r="P553" s="27">
        <f t="shared" si="52"/>
        <v>0</v>
      </c>
      <c r="Q553" s="27">
        <f t="shared" si="53"/>
        <v>0</v>
      </c>
      <c r="R553" s="28" t="s">
        <v>22</v>
      </c>
      <c r="S553" s="21">
        <v>3420</v>
      </c>
      <c r="T553" s="18" t="s">
        <v>23</v>
      </c>
      <c r="U553" s="14"/>
    </row>
    <row r="554" spans="1:21" x14ac:dyDescent="0.2">
      <c r="A554" s="17">
        <v>552</v>
      </c>
      <c r="B554" s="18" t="s">
        <v>2379</v>
      </c>
      <c r="C554" s="19" t="s">
        <v>2380</v>
      </c>
      <c r="D554" s="20" t="s">
        <v>2381</v>
      </c>
      <c r="E554" s="21">
        <v>75000</v>
      </c>
      <c r="F554" s="20" t="s">
        <v>2382</v>
      </c>
      <c r="G554" s="20" t="s">
        <v>21</v>
      </c>
      <c r="H554" s="22" t="s">
        <v>2383</v>
      </c>
      <c r="I554" s="23" t="s">
        <v>2384</v>
      </c>
      <c r="J554" s="24" t="s">
        <v>377</v>
      </c>
      <c r="K554" s="25">
        <f t="shared" si="49"/>
        <v>45795</v>
      </c>
      <c r="L554" s="26" t="str">
        <f t="shared" si="50"/>
        <v>May 25</v>
      </c>
      <c r="M554" s="26" t="str">
        <f t="shared" si="51"/>
        <v>2025</v>
      </c>
      <c r="N554" s="23" t="s">
        <v>813</v>
      </c>
      <c r="O554" s="25">
        <f t="shared" si="54"/>
        <v>45805</v>
      </c>
      <c r="P554" s="27">
        <f t="shared" si="52"/>
        <v>0</v>
      </c>
      <c r="Q554" s="27">
        <f t="shared" si="53"/>
        <v>0</v>
      </c>
      <c r="R554" s="28" t="s">
        <v>22</v>
      </c>
      <c r="S554" s="21">
        <v>34650</v>
      </c>
      <c r="T554" s="18" t="s">
        <v>23</v>
      </c>
      <c r="U554" s="14"/>
    </row>
    <row r="555" spans="1:21" x14ac:dyDescent="0.2">
      <c r="A555" s="17">
        <v>553</v>
      </c>
      <c r="B555" s="18" t="s">
        <v>2385</v>
      </c>
      <c r="C555" s="19" t="s">
        <v>2386</v>
      </c>
      <c r="D555" s="20" t="s">
        <v>2387</v>
      </c>
      <c r="E555" s="21">
        <v>65000</v>
      </c>
      <c r="F555" s="20" t="s">
        <v>21</v>
      </c>
      <c r="G555" s="20" t="s">
        <v>21</v>
      </c>
      <c r="H555" s="22" t="s">
        <v>303</v>
      </c>
      <c r="I555" s="23" t="s">
        <v>620</v>
      </c>
      <c r="J555" s="24" t="s">
        <v>1011</v>
      </c>
      <c r="K555" s="25">
        <f t="shared" si="49"/>
        <v>45840</v>
      </c>
      <c r="L555" s="26" t="str">
        <f t="shared" si="50"/>
        <v>Jul 25</v>
      </c>
      <c r="M555" s="26" t="str">
        <f t="shared" si="51"/>
        <v>2025</v>
      </c>
      <c r="N555" s="23" t="s">
        <v>1098</v>
      </c>
      <c r="O555" s="25">
        <f t="shared" si="54"/>
        <v>45854</v>
      </c>
      <c r="P555" s="27">
        <f t="shared" si="52"/>
        <v>0</v>
      </c>
      <c r="Q555" s="27">
        <f t="shared" si="53"/>
        <v>0</v>
      </c>
      <c r="R555" s="28" t="s">
        <v>22</v>
      </c>
      <c r="S555" s="21">
        <v>2170</v>
      </c>
      <c r="T555" s="18" t="s">
        <v>23</v>
      </c>
      <c r="U555" s="14"/>
    </row>
    <row r="556" spans="1:21" x14ac:dyDescent="0.2">
      <c r="A556" s="17">
        <v>554</v>
      </c>
      <c r="B556" s="18" t="s">
        <v>2388</v>
      </c>
      <c r="C556" s="19" t="s">
        <v>2389</v>
      </c>
      <c r="D556" s="20" t="s">
        <v>2390</v>
      </c>
      <c r="E556" s="21">
        <v>250000</v>
      </c>
      <c r="F556" s="20" t="s">
        <v>21</v>
      </c>
      <c r="G556" s="20" t="s">
        <v>21</v>
      </c>
      <c r="H556" s="22" t="s">
        <v>1005</v>
      </c>
      <c r="I556" s="23" t="s">
        <v>281</v>
      </c>
      <c r="J556" s="24" t="s">
        <v>861</v>
      </c>
      <c r="K556" s="25">
        <f t="shared" si="49"/>
        <v>45811</v>
      </c>
      <c r="L556" s="26" t="str">
        <f t="shared" si="50"/>
        <v>Jun 25</v>
      </c>
      <c r="M556" s="26" t="str">
        <f t="shared" si="51"/>
        <v>2025</v>
      </c>
      <c r="N556" s="23" t="s">
        <v>1098</v>
      </c>
      <c r="O556" s="25">
        <f t="shared" si="54"/>
        <v>45854</v>
      </c>
      <c r="P556" s="27">
        <f t="shared" si="52"/>
        <v>1</v>
      </c>
      <c r="Q556" s="27">
        <f t="shared" si="53"/>
        <v>0</v>
      </c>
      <c r="R556" s="28" t="s">
        <v>22</v>
      </c>
      <c r="S556" s="21">
        <v>86256</v>
      </c>
      <c r="T556" s="18" t="s">
        <v>23</v>
      </c>
      <c r="U556" s="14"/>
    </row>
    <row r="557" spans="1:21" x14ac:dyDescent="0.2">
      <c r="A557" s="17">
        <v>555</v>
      </c>
      <c r="B557" s="18" t="s">
        <v>1057</v>
      </c>
      <c r="C557" s="19" t="s">
        <v>2391</v>
      </c>
      <c r="D557" s="20" t="s">
        <v>2392</v>
      </c>
      <c r="E557" s="21">
        <v>100000</v>
      </c>
      <c r="F557" s="20" t="s">
        <v>21</v>
      </c>
      <c r="G557" s="20" t="s">
        <v>21</v>
      </c>
      <c r="H557" s="22" t="s">
        <v>128</v>
      </c>
      <c r="I557" s="23" t="s">
        <v>2249</v>
      </c>
      <c r="J557" s="24" t="s">
        <v>809</v>
      </c>
      <c r="K557" s="25">
        <f t="shared" si="49"/>
        <v>45819</v>
      </c>
      <c r="L557" s="26" t="str">
        <f t="shared" si="50"/>
        <v>Jun 25</v>
      </c>
      <c r="M557" s="26" t="str">
        <f t="shared" si="51"/>
        <v>2025</v>
      </c>
      <c r="N557" s="23" t="s">
        <v>1169</v>
      </c>
      <c r="O557" s="25">
        <f t="shared" si="54"/>
        <v>45844</v>
      </c>
      <c r="P557" s="27">
        <f t="shared" si="52"/>
        <v>0</v>
      </c>
      <c r="Q557" s="27">
        <f t="shared" si="53"/>
        <v>0</v>
      </c>
      <c r="R557" s="28" t="s">
        <v>22</v>
      </c>
      <c r="S557" s="21">
        <v>2637</v>
      </c>
      <c r="T557" s="18" t="s">
        <v>23</v>
      </c>
      <c r="U557" s="14"/>
    </row>
    <row r="558" spans="1:21" x14ac:dyDescent="0.2">
      <c r="A558" s="17">
        <v>556</v>
      </c>
      <c r="B558" s="18" t="s">
        <v>2393</v>
      </c>
      <c r="C558" s="19" t="s">
        <v>2394</v>
      </c>
      <c r="D558" s="20" t="s">
        <v>2395</v>
      </c>
      <c r="E558" s="21">
        <v>35000</v>
      </c>
      <c r="F558" s="20" t="s">
        <v>21</v>
      </c>
      <c r="G558" s="20" t="s">
        <v>21</v>
      </c>
      <c r="H558" s="22" t="s">
        <v>528</v>
      </c>
      <c r="I558" s="23" t="s">
        <v>528</v>
      </c>
      <c r="J558" s="24" t="s">
        <v>1085</v>
      </c>
      <c r="K558" s="25">
        <f t="shared" si="49"/>
        <v>45860</v>
      </c>
      <c r="L558" s="26" t="str">
        <f t="shared" si="50"/>
        <v>Jul 25</v>
      </c>
      <c r="M558" s="26" t="str">
        <f t="shared" si="51"/>
        <v>2025</v>
      </c>
      <c r="N558" s="23" t="s">
        <v>1118</v>
      </c>
      <c r="O558" s="25">
        <f t="shared" si="54"/>
        <v>45869</v>
      </c>
      <c r="P558" s="27">
        <f t="shared" si="52"/>
        <v>0</v>
      </c>
      <c r="Q558" s="27">
        <f t="shared" si="53"/>
        <v>0</v>
      </c>
      <c r="R558" s="28" t="s">
        <v>1501</v>
      </c>
      <c r="S558" s="21">
        <v>7128</v>
      </c>
      <c r="T558" s="18" t="s">
        <v>23</v>
      </c>
      <c r="U558" s="14"/>
    </row>
    <row r="559" spans="1:21" x14ac:dyDescent="0.2">
      <c r="A559" s="17">
        <v>557</v>
      </c>
      <c r="B559" s="18" t="s">
        <v>2396</v>
      </c>
      <c r="C559" s="19" t="s">
        <v>2397</v>
      </c>
      <c r="D559" s="20" t="s">
        <v>2398</v>
      </c>
      <c r="E559" s="21">
        <v>200000</v>
      </c>
      <c r="F559" s="20" t="s">
        <v>21</v>
      </c>
      <c r="G559" s="20" t="s">
        <v>21</v>
      </c>
      <c r="H559" s="22" t="s">
        <v>140</v>
      </c>
      <c r="I559" s="23" t="s">
        <v>141</v>
      </c>
      <c r="J559" s="24" t="s">
        <v>1916</v>
      </c>
      <c r="K559" s="25">
        <f t="shared" si="49"/>
        <v>45907</v>
      </c>
      <c r="L559" s="26" t="str">
        <f t="shared" si="50"/>
        <v>Sep 25</v>
      </c>
      <c r="M559" s="26" t="str">
        <f t="shared" si="51"/>
        <v>2025</v>
      </c>
      <c r="N559" s="23" t="s">
        <v>2115</v>
      </c>
      <c r="O559" s="25">
        <f t="shared" si="54"/>
        <v>45916</v>
      </c>
      <c r="P559" s="27">
        <f t="shared" si="52"/>
        <v>0</v>
      </c>
      <c r="Q559" s="27">
        <f t="shared" si="53"/>
        <v>0</v>
      </c>
      <c r="R559" s="28" t="s">
        <v>22</v>
      </c>
      <c r="S559" s="21">
        <v>5670</v>
      </c>
      <c r="T559" s="18" t="s">
        <v>23</v>
      </c>
      <c r="U559" s="14"/>
    </row>
    <row r="560" spans="1:21" x14ac:dyDescent="0.2">
      <c r="A560" s="17">
        <v>558</v>
      </c>
      <c r="B560" s="18" t="s">
        <v>2399</v>
      </c>
      <c r="C560" s="19" t="s">
        <v>2400</v>
      </c>
      <c r="D560" s="20" t="s">
        <v>2401</v>
      </c>
      <c r="E560" s="21">
        <v>350000</v>
      </c>
      <c r="F560" s="20" t="s">
        <v>21</v>
      </c>
      <c r="G560" s="20" t="s">
        <v>2402</v>
      </c>
      <c r="H560" s="22">
        <v>45730</v>
      </c>
      <c r="I560" s="23">
        <v>46096</v>
      </c>
      <c r="J560" s="24" t="s">
        <v>933</v>
      </c>
      <c r="K560" s="25">
        <f t="shared" si="49"/>
        <v>45827</v>
      </c>
      <c r="L560" s="26" t="str">
        <f t="shared" si="50"/>
        <v>Jun 25</v>
      </c>
      <c r="M560" s="26" t="str">
        <f t="shared" si="51"/>
        <v>2025</v>
      </c>
      <c r="N560" s="23" t="s">
        <v>118</v>
      </c>
      <c r="O560" s="25">
        <f t="shared" si="54"/>
        <v>45931</v>
      </c>
      <c r="P560" s="27">
        <f t="shared" si="52"/>
        <v>3</v>
      </c>
      <c r="Q560" s="27">
        <f t="shared" si="53"/>
        <v>0</v>
      </c>
      <c r="R560" s="28" t="s">
        <v>92</v>
      </c>
      <c r="S560" s="21">
        <v>5000</v>
      </c>
      <c r="T560" s="18" t="s">
        <v>23</v>
      </c>
      <c r="U560" s="14"/>
    </row>
    <row r="561" spans="1:21" x14ac:dyDescent="0.2">
      <c r="A561" s="17">
        <v>559</v>
      </c>
      <c r="B561" s="18" t="s">
        <v>2403</v>
      </c>
      <c r="C561" s="19" t="s">
        <v>2404</v>
      </c>
      <c r="D561" s="20" t="s">
        <v>2405</v>
      </c>
      <c r="E561" s="21">
        <v>140000</v>
      </c>
      <c r="F561" s="20" t="s">
        <v>21</v>
      </c>
      <c r="G561" s="20" t="s">
        <v>21</v>
      </c>
      <c r="H561" s="22" t="s">
        <v>143</v>
      </c>
      <c r="I561" s="23" t="s">
        <v>2203</v>
      </c>
      <c r="J561" s="24" t="s">
        <v>1621</v>
      </c>
      <c r="K561" s="25">
        <f t="shared" si="49"/>
        <v>45955</v>
      </c>
      <c r="L561" s="26" t="str">
        <f t="shared" si="50"/>
        <v>Oct 25</v>
      </c>
      <c r="M561" s="26" t="str">
        <f t="shared" si="51"/>
        <v>2025</v>
      </c>
      <c r="N561" s="23" t="s">
        <v>1561</v>
      </c>
      <c r="O561" s="25">
        <f t="shared" si="54"/>
        <v>45968</v>
      </c>
      <c r="P561" s="27">
        <f t="shared" si="52"/>
        <v>0</v>
      </c>
      <c r="Q561" s="27">
        <f t="shared" si="53"/>
        <v>0</v>
      </c>
      <c r="R561" s="28" t="s">
        <v>22</v>
      </c>
      <c r="S561" s="21">
        <v>6480</v>
      </c>
      <c r="T561" s="18" t="s">
        <v>23</v>
      </c>
      <c r="U561" s="14"/>
    </row>
    <row r="562" spans="1:21" x14ac:dyDescent="0.2">
      <c r="A562" s="17">
        <v>560</v>
      </c>
      <c r="B562" s="18" t="s">
        <v>2406</v>
      </c>
      <c r="C562" s="19" t="s">
        <v>2407</v>
      </c>
      <c r="D562" s="20" t="s">
        <v>2408</v>
      </c>
      <c r="E562" s="21">
        <v>120000</v>
      </c>
      <c r="F562" s="20" t="s">
        <v>21</v>
      </c>
      <c r="G562" s="20"/>
      <c r="H562" s="22" t="s">
        <v>594</v>
      </c>
      <c r="I562" s="23" t="s">
        <v>1706</v>
      </c>
      <c r="J562" s="24" t="s">
        <v>2409</v>
      </c>
      <c r="K562" s="25">
        <f t="shared" si="49"/>
        <v>45970</v>
      </c>
      <c r="L562" s="26" t="str">
        <f t="shared" si="50"/>
        <v>Nov 25</v>
      </c>
      <c r="M562" s="26" t="str">
        <f t="shared" si="51"/>
        <v>2025</v>
      </c>
      <c r="N562" s="23" t="s">
        <v>1752</v>
      </c>
      <c r="O562" s="25">
        <f t="shared" si="54"/>
        <v>45995</v>
      </c>
      <c r="P562" s="27">
        <f t="shared" si="52"/>
        <v>0</v>
      </c>
      <c r="Q562" s="27">
        <f t="shared" si="53"/>
        <v>0</v>
      </c>
      <c r="R562" s="28" t="s">
        <v>92</v>
      </c>
      <c r="S562" s="21">
        <v>18900</v>
      </c>
      <c r="T562" s="18" t="s">
        <v>23</v>
      </c>
      <c r="U562" s="14"/>
    </row>
    <row r="563" spans="1:21" x14ac:dyDescent="0.2">
      <c r="A563" s="17">
        <v>561</v>
      </c>
      <c r="B563" s="18" t="s">
        <v>2410</v>
      </c>
      <c r="C563" s="19" t="s">
        <v>2411</v>
      </c>
      <c r="D563" s="20" t="s">
        <v>2412</v>
      </c>
      <c r="E563" s="21">
        <v>55000</v>
      </c>
      <c r="F563" s="20" t="s">
        <v>21</v>
      </c>
      <c r="G563" s="20" t="s">
        <v>21</v>
      </c>
      <c r="H563" s="22" t="s">
        <v>34</v>
      </c>
      <c r="I563" s="23" t="s">
        <v>2413</v>
      </c>
      <c r="J563" s="24" t="s">
        <v>1609</v>
      </c>
      <c r="K563" s="25">
        <f t="shared" si="49"/>
        <v>45975</v>
      </c>
      <c r="L563" s="26" t="str">
        <f t="shared" si="50"/>
        <v>Nov 25</v>
      </c>
      <c r="M563" s="26" t="str">
        <f t="shared" si="51"/>
        <v>2025</v>
      </c>
      <c r="N563" s="23" t="s">
        <v>665</v>
      </c>
      <c r="O563" s="25">
        <f t="shared" si="54"/>
        <v>45986</v>
      </c>
      <c r="P563" s="27">
        <f t="shared" si="52"/>
        <v>0</v>
      </c>
      <c r="Q563" s="27">
        <f t="shared" si="53"/>
        <v>0</v>
      </c>
      <c r="R563" s="28" t="s">
        <v>92</v>
      </c>
      <c r="S563" s="21">
        <v>49500</v>
      </c>
      <c r="T563" s="18" t="s">
        <v>23</v>
      </c>
      <c r="U563" s="14"/>
    </row>
    <row r="564" spans="1:21" x14ac:dyDescent="0.2">
      <c r="A564" s="17">
        <v>562</v>
      </c>
      <c r="B564" s="18" t="s">
        <v>2414</v>
      </c>
      <c r="C564" s="19" t="s">
        <v>2415</v>
      </c>
      <c r="D564" s="20" t="s">
        <v>2416</v>
      </c>
      <c r="E564" s="21">
        <v>50000</v>
      </c>
      <c r="F564" s="20" t="s">
        <v>21</v>
      </c>
      <c r="G564" s="20" t="s">
        <v>21</v>
      </c>
      <c r="H564" s="22" t="s">
        <v>1023</v>
      </c>
      <c r="I564" s="23" t="s">
        <v>2417</v>
      </c>
      <c r="J564" s="24" t="s">
        <v>1579</v>
      </c>
      <c r="K564" s="25">
        <f t="shared" si="49"/>
        <v>45956</v>
      </c>
      <c r="L564" s="26" t="str">
        <f t="shared" si="50"/>
        <v>Oct 25</v>
      </c>
      <c r="M564" s="26" t="str">
        <f t="shared" si="51"/>
        <v>2025</v>
      </c>
      <c r="N564" s="23" t="s">
        <v>36</v>
      </c>
      <c r="O564" s="25">
        <f t="shared" si="54"/>
        <v>45994</v>
      </c>
      <c r="P564" s="27">
        <f t="shared" si="52"/>
        <v>1</v>
      </c>
      <c r="Q564" s="27">
        <f t="shared" si="53"/>
        <v>0</v>
      </c>
      <c r="R564" s="28" t="s">
        <v>894</v>
      </c>
      <c r="S564" s="21">
        <v>0</v>
      </c>
      <c r="T564" s="18" t="s">
        <v>23</v>
      </c>
      <c r="U564" s="14"/>
    </row>
    <row r="565" spans="1:21" x14ac:dyDescent="0.2">
      <c r="A565" s="17">
        <v>563</v>
      </c>
      <c r="B565" s="18" t="s">
        <v>2418</v>
      </c>
      <c r="C565" s="19" t="s">
        <v>2419</v>
      </c>
      <c r="D565" s="20" t="s">
        <v>2420</v>
      </c>
      <c r="E565" s="21">
        <v>60000</v>
      </c>
      <c r="F565" s="20" t="s">
        <v>21</v>
      </c>
      <c r="G565" s="20" t="s">
        <v>21</v>
      </c>
      <c r="H565" s="22" t="s">
        <v>2421</v>
      </c>
      <c r="I565" s="23" t="s">
        <v>955</v>
      </c>
      <c r="J565" s="24" t="s">
        <v>1063</v>
      </c>
      <c r="K565" s="25">
        <f t="shared" si="49"/>
        <v>45614</v>
      </c>
      <c r="L565" s="26" t="str">
        <f t="shared" si="50"/>
        <v>Nov 24</v>
      </c>
      <c r="M565" s="26" t="str">
        <f t="shared" si="51"/>
        <v>2024</v>
      </c>
      <c r="N565" s="23" t="s">
        <v>253</v>
      </c>
      <c r="O565" s="25">
        <f t="shared" si="54"/>
        <v>45687</v>
      </c>
      <c r="P565" s="27">
        <f t="shared" si="52"/>
        <v>2</v>
      </c>
      <c r="Q565" s="27">
        <f t="shared" si="53"/>
        <v>1</v>
      </c>
      <c r="R565" s="28" t="s">
        <v>22</v>
      </c>
      <c r="S565" s="21">
        <v>4050</v>
      </c>
      <c r="T565" s="18" t="s">
        <v>23</v>
      </c>
      <c r="U565" s="14"/>
    </row>
    <row r="566" spans="1:21" x14ac:dyDescent="0.2">
      <c r="A566" s="17">
        <v>564</v>
      </c>
      <c r="B566" s="18" t="s">
        <v>2422</v>
      </c>
      <c r="C566" s="19" t="s">
        <v>2423</v>
      </c>
      <c r="D566" s="20" t="s">
        <v>2424</v>
      </c>
      <c r="E566" s="21">
        <v>42000</v>
      </c>
      <c r="F566" s="20" t="s">
        <v>21</v>
      </c>
      <c r="G566" s="20" t="s">
        <v>21</v>
      </c>
      <c r="H566" s="22" t="s">
        <v>558</v>
      </c>
      <c r="I566" s="23" t="s">
        <v>85</v>
      </c>
      <c r="J566" s="24" t="s">
        <v>199</v>
      </c>
      <c r="K566" s="25">
        <f t="shared" si="49"/>
        <v>45701</v>
      </c>
      <c r="L566" s="26" t="str">
        <f t="shared" si="50"/>
        <v>Feb 25</v>
      </c>
      <c r="M566" s="26" t="str">
        <f t="shared" si="51"/>
        <v>2025</v>
      </c>
      <c r="N566" s="23" t="s">
        <v>341</v>
      </c>
      <c r="O566" s="25">
        <f t="shared" si="54"/>
        <v>45707</v>
      </c>
      <c r="P566" s="27">
        <f t="shared" si="52"/>
        <v>0</v>
      </c>
      <c r="Q566" s="27">
        <f t="shared" si="53"/>
        <v>0</v>
      </c>
      <c r="R566" s="28" t="s">
        <v>22</v>
      </c>
      <c r="S566" s="21">
        <v>6120</v>
      </c>
      <c r="T566" s="18" t="s">
        <v>23</v>
      </c>
      <c r="U566" s="14"/>
    </row>
    <row r="567" spans="1:21" x14ac:dyDescent="0.2">
      <c r="A567" s="17">
        <v>565</v>
      </c>
      <c r="B567" s="18" t="s">
        <v>2425</v>
      </c>
      <c r="C567" s="19" t="s">
        <v>2426</v>
      </c>
      <c r="D567" s="20" t="s">
        <v>2427</v>
      </c>
      <c r="E567" s="21">
        <v>150000</v>
      </c>
      <c r="F567" s="20" t="s">
        <v>21</v>
      </c>
      <c r="G567" s="20" t="s">
        <v>21</v>
      </c>
      <c r="H567" s="22" t="s">
        <v>2428</v>
      </c>
      <c r="I567" s="23" t="s">
        <v>719</v>
      </c>
      <c r="J567" s="24" t="s">
        <v>276</v>
      </c>
      <c r="K567" s="25">
        <f t="shared" si="49"/>
        <v>45668</v>
      </c>
      <c r="L567" s="26" t="str">
        <f t="shared" si="50"/>
        <v>Jan 25</v>
      </c>
      <c r="M567" s="26" t="str">
        <f t="shared" si="51"/>
        <v>2025</v>
      </c>
      <c r="N567" s="23" t="s">
        <v>436</v>
      </c>
      <c r="O567" s="25">
        <f t="shared" si="54"/>
        <v>45726</v>
      </c>
      <c r="P567" s="27">
        <f t="shared" si="52"/>
        <v>1</v>
      </c>
      <c r="Q567" s="27">
        <f t="shared" si="53"/>
        <v>0</v>
      </c>
      <c r="R567" s="28" t="s">
        <v>22</v>
      </c>
      <c r="S567" s="21">
        <v>135000</v>
      </c>
      <c r="T567" s="18" t="s">
        <v>23</v>
      </c>
      <c r="U567" s="14"/>
    </row>
    <row r="568" spans="1:21" x14ac:dyDescent="0.2">
      <c r="A568" s="17">
        <v>566</v>
      </c>
      <c r="B568" s="18" t="s">
        <v>2429</v>
      </c>
      <c r="C568" s="19" t="s">
        <v>2430</v>
      </c>
      <c r="D568" s="20" t="s">
        <v>2431</v>
      </c>
      <c r="E568" s="21">
        <v>50000</v>
      </c>
      <c r="F568" s="20" t="s">
        <v>21</v>
      </c>
      <c r="G568" s="20" t="s">
        <v>21</v>
      </c>
      <c r="H568" s="22" t="s">
        <v>2432</v>
      </c>
      <c r="I568" s="23" t="s">
        <v>311</v>
      </c>
      <c r="J568" s="24" t="s">
        <v>252</v>
      </c>
      <c r="K568" s="25">
        <f t="shared" si="49"/>
        <v>45683</v>
      </c>
      <c r="L568" s="26" t="str">
        <f t="shared" si="50"/>
        <v>Jan 25</v>
      </c>
      <c r="M568" s="26" t="str">
        <f t="shared" si="51"/>
        <v>2025</v>
      </c>
      <c r="N568" s="23" t="s">
        <v>589</v>
      </c>
      <c r="O568" s="25">
        <f t="shared" si="54"/>
        <v>45742</v>
      </c>
      <c r="P568" s="27">
        <f t="shared" si="52"/>
        <v>2</v>
      </c>
      <c r="Q568" s="27">
        <f t="shared" si="53"/>
        <v>0</v>
      </c>
      <c r="R568" s="28" t="s">
        <v>22</v>
      </c>
      <c r="S568" s="21">
        <v>3420</v>
      </c>
      <c r="T568" s="18" t="s">
        <v>23</v>
      </c>
      <c r="U568" s="14"/>
    </row>
    <row r="569" spans="1:21" x14ac:dyDescent="0.2">
      <c r="A569" s="17">
        <v>567</v>
      </c>
      <c r="B569" s="18" t="s">
        <v>2433</v>
      </c>
      <c r="C569" s="19" t="s">
        <v>2434</v>
      </c>
      <c r="D569" s="20" t="s">
        <v>2435</v>
      </c>
      <c r="E569" s="21" t="s">
        <v>374</v>
      </c>
      <c r="F569" s="20" t="s">
        <v>2436</v>
      </c>
      <c r="G569" s="20" t="s">
        <v>21</v>
      </c>
      <c r="H569" s="22" t="s">
        <v>563</v>
      </c>
      <c r="I569" s="23" t="s">
        <v>2437</v>
      </c>
      <c r="J569" s="24" t="s">
        <v>167</v>
      </c>
      <c r="K569" s="25">
        <f t="shared" si="49"/>
        <v>45688</v>
      </c>
      <c r="L569" s="26" t="str">
        <f t="shared" si="50"/>
        <v>Jan 25</v>
      </c>
      <c r="M569" s="26" t="str">
        <f t="shared" si="51"/>
        <v>2025</v>
      </c>
      <c r="N569" s="23" t="s">
        <v>704</v>
      </c>
      <c r="O569" s="25">
        <f t="shared" si="54"/>
        <v>45783</v>
      </c>
      <c r="P569" s="27">
        <f t="shared" si="52"/>
        <v>3</v>
      </c>
      <c r="Q569" s="27">
        <f t="shared" si="53"/>
        <v>0</v>
      </c>
      <c r="R569" s="28" t="s">
        <v>22</v>
      </c>
      <c r="S569" s="21">
        <v>27000</v>
      </c>
      <c r="T569" s="18" t="s">
        <v>23</v>
      </c>
      <c r="U569" s="14"/>
    </row>
    <row r="570" spans="1:21" x14ac:dyDescent="0.2">
      <c r="A570" s="17">
        <v>568</v>
      </c>
      <c r="B570" s="18" t="s">
        <v>2438</v>
      </c>
      <c r="C570" s="68" t="s">
        <v>2439</v>
      </c>
      <c r="D570" s="69" t="s">
        <v>2440</v>
      </c>
      <c r="E570" s="70">
        <v>320000</v>
      </c>
      <c r="F570" s="69" t="s">
        <v>21</v>
      </c>
      <c r="G570" s="69" t="s">
        <v>21</v>
      </c>
      <c r="H570" s="71" t="s">
        <v>512</v>
      </c>
      <c r="I570" s="71" t="s">
        <v>589</v>
      </c>
      <c r="J570" s="24" t="s">
        <v>746</v>
      </c>
      <c r="K570" s="25">
        <f t="shared" si="49"/>
        <v>45785</v>
      </c>
      <c r="L570" s="26" t="str">
        <f t="shared" si="50"/>
        <v>May 25</v>
      </c>
      <c r="M570" s="26" t="str">
        <f t="shared" si="51"/>
        <v>2025</v>
      </c>
      <c r="N570" s="23" t="s">
        <v>802</v>
      </c>
      <c r="O570" s="25">
        <f t="shared" si="54"/>
        <v>45798</v>
      </c>
      <c r="P570" s="27">
        <f t="shared" si="52"/>
        <v>0</v>
      </c>
      <c r="Q570" s="27">
        <f t="shared" si="53"/>
        <v>0</v>
      </c>
      <c r="R570" s="28" t="s">
        <v>22</v>
      </c>
      <c r="S570" s="21">
        <v>5040</v>
      </c>
      <c r="T570" s="18" t="s">
        <v>23</v>
      </c>
      <c r="U570" s="14"/>
    </row>
    <row r="571" spans="1:21" x14ac:dyDescent="0.2">
      <c r="A571" s="17">
        <v>569</v>
      </c>
      <c r="B571" s="17" t="s">
        <v>2441</v>
      </c>
      <c r="C571" s="68" t="s">
        <v>2442</v>
      </c>
      <c r="D571" s="69" t="s">
        <v>2443</v>
      </c>
      <c r="E571" s="70">
        <v>350000</v>
      </c>
      <c r="F571" s="69" t="s">
        <v>2444</v>
      </c>
      <c r="G571" s="69" t="s">
        <v>21</v>
      </c>
      <c r="H571" s="71" t="s">
        <v>171</v>
      </c>
      <c r="I571" s="71" t="s">
        <v>1144</v>
      </c>
      <c r="J571" s="72" t="s">
        <v>892</v>
      </c>
      <c r="K571" s="25">
        <f t="shared" si="49"/>
        <v>45792</v>
      </c>
      <c r="L571" s="26" t="str">
        <f t="shared" si="50"/>
        <v>May 25</v>
      </c>
      <c r="M571" s="26" t="str">
        <f t="shared" si="51"/>
        <v>2025</v>
      </c>
      <c r="N571" s="71" t="s">
        <v>2445</v>
      </c>
      <c r="O571" s="25">
        <f t="shared" si="54"/>
        <v>45800</v>
      </c>
      <c r="P571" s="27">
        <f t="shared" si="52"/>
        <v>0</v>
      </c>
      <c r="Q571" s="27">
        <f t="shared" si="53"/>
        <v>0</v>
      </c>
      <c r="R571" s="17" t="s">
        <v>22</v>
      </c>
      <c r="S571" s="70">
        <v>14400</v>
      </c>
      <c r="T571" s="18" t="s">
        <v>23</v>
      </c>
      <c r="U571" s="14"/>
    </row>
    <row r="572" spans="1:21" x14ac:dyDescent="0.2">
      <c r="A572" s="17">
        <v>570</v>
      </c>
      <c r="B572" s="17" t="s">
        <v>2446</v>
      </c>
      <c r="C572" s="68" t="s">
        <v>2447</v>
      </c>
      <c r="D572" s="69" t="s">
        <v>2448</v>
      </c>
      <c r="E572" s="70">
        <v>250000</v>
      </c>
      <c r="F572" s="69" t="s">
        <v>21</v>
      </c>
      <c r="G572" s="69" t="s">
        <v>21</v>
      </c>
      <c r="H572" s="71" t="s">
        <v>437</v>
      </c>
      <c r="I572" s="71">
        <v>503.20260000000002</v>
      </c>
      <c r="J572" s="72" t="s">
        <v>943</v>
      </c>
      <c r="K572" s="25">
        <f t="shared" si="49"/>
        <v>45822</v>
      </c>
      <c r="L572" s="26" t="str">
        <f t="shared" si="50"/>
        <v>Jun 25</v>
      </c>
      <c r="M572" s="26" t="str">
        <f t="shared" si="51"/>
        <v>2025</v>
      </c>
      <c r="N572" s="71" t="s">
        <v>1175</v>
      </c>
      <c r="O572" s="25">
        <f t="shared" si="54"/>
        <v>45856</v>
      </c>
      <c r="P572" s="27">
        <f t="shared" si="52"/>
        <v>1</v>
      </c>
      <c r="Q572" s="27">
        <f t="shared" si="53"/>
        <v>0</v>
      </c>
      <c r="R572" s="17" t="s">
        <v>22</v>
      </c>
      <c r="S572" s="70">
        <v>11700</v>
      </c>
      <c r="T572" s="18" t="s">
        <v>23</v>
      </c>
      <c r="U572" s="14"/>
    </row>
    <row r="573" spans="1:21" x14ac:dyDescent="0.2">
      <c r="A573" s="17">
        <v>571</v>
      </c>
      <c r="B573" s="17" t="s">
        <v>2449</v>
      </c>
      <c r="C573" s="19" t="s">
        <v>2450</v>
      </c>
      <c r="D573" s="20" t="s">
        <v>2451</v>
      </c>
      <c r="E573" s="21">
        <v>25000</v>
      </c>
      <c r="F573" s="20" t="s">
        <v>21</v>
      </c>
      <c r="G573" s="20" t="s">
        <v>21</v>
      </c>
      <c r="H573" s="22" t="s">
        <v>186</v>
      </c>
      <c r="I573" s="23" t="s">
        <v>34</v>
      </c>
      <c r="J573" s="72">
        <v>106.2025</v>
      </c>
      <c r="K573" s="25">
        <f t="shared" si="49"/>
        <v>45636</v>
      </c>
      <c r="L573" s="26" t="str">
        <f t="shared" si="50"/>
        <v>Dec 24</v>
      </c>
      <c r="M573" s="26" t="str">
        <f t="shared" si="51"/>
        <v>2024</v>
      </c>
      <c r="N573" s="71" t="s">
        <v>1363</v>
      </c>
      <c r="O573" s="25">
        <f t="shared" si="54"/>
        <v>45915</v>
      </c>
      <c r="P573" s="27">
        <f t="shared" si="52"/>
        <v>9</v>
      </c>
      <c r="Q573" s="27">
        <f t="shared" si="53"/>
        <v>1</v>
      </c>
      <c r="R573" s="17" t="s">
        <v>22</v>
      </c>
      <c r="S573" s="70">
        <v>4950</v>
      </c>
      <c r="T573" s="18" t="s">
        <v>23</v>
      </c>
      <c r="U573" s="14"/>
    </row>
    <row r="574" spans="1:21" x14ac:dyDescent="0.2">
      <c r="A574" s="17">
        <v>572</v>
      </c>
      <c r="B574" s="18" t="s">
        <v>2452</v>
      </c>
      <c r="C574" s="68" t="s">
        <v>2453</v>
      </c>
      <c r="D574" s="69" t="s">
        <v>2454</v>
      </c>
      <c r="E574" s="70">
        <v>200000</v>
      </c>
      <c r="F574" s="69" t="s">
        <v>21</v>
      </c>
      <c r="G574" s="69" t="s">
        <v>21</v>
      </c>
      <c r="H574" s="71" t="s">
        <v>341</v>
      </c>
      <c r="I574" s="71" t="s">
        <v>1407</v>
      </c>
      <c r="J574" s="24" t="s">
        <v>2455</v>
      </c>
      <c r="K574" s="25">
        <f t="shared" si="49"/>
        <v>45886</v>
      </c>
      <c r="L574" s="26" t="str">
        <f t="shared" si="50"/>
        <v>Aug 25</v>
      </c>
      <c r="M574" s="26" t="str">
        <f t="shared" si="51"/>
        <v>2025</v>
      </c>
      <c r="N574" s="23" t="s">
        <v>47</v>
      </c>
      <c r="O574" s="25">
        <f t="shared" si="54"/>
        <v>45922</v>
      </c>
      <c r="P574" s="27">
        <f t="shared" si="52"/>
        <v>1</v>
      </c>
      <c r="Q574" s="27">
        <f t="shared" si="53"/>
        <v>0</v>
      </c>
      <c r="R574" s="28" t="s">
        <v>2352</v>
      </c>
      <c r="S574" s="21">
        <v>75577.5</v>
      </c>
      <c r="T574" s="18" t="s">
        <v>23</v>
      </c>
      <c r="U574" s="14"/>
    </row>
    <row r="575" spans="1:21" x14ac:dyDescent="0.2">
      <c r="A575" s="17">
        <v>573</v>
      </c>
      <c r="B575" s="17" t="s">
        <v>2456</v>
      </c>
      <c r="C575" s="68" t="s">
        <v>2457</v>
      </c>
      <c r="D575" s="69" t="s">
        <v>2458</v>
      </c>
      <c r="E575" s="70">
        <v>55000</v>
      </c>
      <c r="F575" s="69" t="s">
        <v>21</v>
      </c>
      <c r="G575" s="69" t="s">
        <v>21</v>
      </c>
      <c r="H575" s="71" t="s">
        <v>877</v>
      </c>
      <c r="I575" s="71" t="s">
        <v>2459</v>
      </c>
      <c r="J575" s="72" t="s">
        <v>1189</v>
      </c>
      <c r="K575" s="25">
        <f t="shared" si="49"/>
        <v>45863</v>
      </c>
      <c r="L575" s="26" t="str">
        <f t="shared" si="50"/>
        <v>Jul 25</v>
      </c>
      <c r="M575" s="26" t="str">
        <f t="shared" si="51"/>
        <v>2025</v>
      </c>
      <c r="N575" s="71" t="s">
        <v>1382</v>
      </c>
      <c r="O575" s="25">
        <f t="shared" si="54"/>
        <v>45924</v>
      </c>
      <c r="P575" s="27">
        <f t="shared" si="52"/>
        <v>1</v>
      </c>
      <c r="Q575" s="27">
        <f t="shared" si="53"/>
        <v>0</v>
      </c>
      <c r="R575" s="17" t="s">
        <v>22</v>
      </c>
      <c r="S575" s="70">
        <v>6210</v>
      </c>
      <c r="T575" s="18" t="s">
        <v>23</v>
      </c>
      <c r="U575" s="14"/>
    </row>
    <row r="576" spans="1:21" x14ac:dyDescent="0.2">
      <c r="A576" s="17">
        <v>574</v>
      </c>
      <c r="B576" s="17" t="s">
        <v>2460</v>
      </c>
      <c r="C576" s="68" t="s">
        <v>2461</v>
      </c>
      <c r="D576" s="69" t="s">
        <v>2462</v>
      </c>
      <c r="E576" s="70">
        <v>150000</v>
      </c>
      <c r="F576" s="69" t="s">
        <v>21</v>
      </c>
      <c r="G576" s="69" t="s">
        <v>21</v>
      </c>
      <c r="H576" s="71" t="s">
        <v>769</v>
      </c>
      <c r="I576" s="71" t="s">
        <v>727</v>
      </c>
      <c r="J576" s="72" t="s">
        <v>1453</v>
      </c>
      <c r="K576" s="25">
        <f t="shared" si="49"/>
        <v>45940</v>
      </c>
      <c r="L576" s="26" t="str">
        <f t="shared" si="50"/>
        <v>Oct 25</v>
      </c>
      <c r="M576" s="26" t="str">
        <f t="shared" si="51"/>
        <v>2025</v>
      </c>
      <c r="N576" s="71" t="s">
        <v>1486</v>
      </c>
      <c r="O576" s="25">
        <f t="shared" si="54"/>
        <v>45944</v>
      </c>
      <c r="P576" s="27">
        <f t="shared" si="52"/>
        <v>0</v>
      </c>
      <c r="Q576" s="27">
        <f t="shared" si="53"/>
        <v>0</v>
      </c>
      <c r="R576" s="17" t="s">
        <v>22</v>
      </c>
      <c r="S576" s="70">
        <v>11268</v>
      </c>
      <c r="T576" s="18" t="s">
        <v>23</v>
      </c>
      <c r="U576" s="14"/>
    </row>
    <row r="577" spans="1:21" x14ac:dyDescent="0.2">
      <c r="A577" s="17">
        <v>575</v>
      </c>
      <c r="B577" s="17" t="s">
        <v>2463</v>
      </c>
      <c r="C577" s="19" t="s">
        <v>2464</v>
      </c>
      <c r="D577" s="20" t="s">
        <v>2465</v>
      </c>
      <c r="E577" s="21">
        <v>500000</v>
      </c>
      <c r="F577" s="20" t="s">
        <v>21</v>
      </c>
      <c r="G577" s="20" t="s">
        <v>21</v>
      </c>
      <c r="H577" s="22" t="s">
        <v>112</v>
      </c>
      <c r="I577" s="23" t="s">
        <v>2466</v>
      </c>
      <c r="J577" s="72" t="s">
        <v>1145</v>
      </c>
      <c r="K577" s="25">
        <f t="shared" si="49"/>
        <v>45877</v>
      </c>
      <c r="L577" s="26" t="str">
        <f t="shared" si="50"/>
        <v>Aug 25</v>
      </c>
      <c r="M577" s="26" t="str">
        <f t="shared" si="51"/>
        <v>2025</v>
      </c>
      <c r="N577" s="71" t="s">
        <v>1496</v>
      </c>
      <c r="O577" s="25">
        <f t="shared" si="54"/>
        <v>45947</v>
      </c>
      <c r="P577" s="27">
        <f t="shared" si="52"/>
        <v>2</v>
      </c>
      <c r="Q577" s="27">
        <f t="shared" si="53"/>
        <v>0</v>
      </c>
      <c r="R577" s="17" t="s">
        <v>2467</v>
      </c>
      <c r="S577" s="73">
        <v>48522.720000000001</v>
      </c>
      <c r="T577" s="18" t="s">
        <v>23</v>
      </c>
      <c r="U577" s="14"/>
    </row>
    <row r="578" spans="1:21" x14ac:dyDescent="0.2">
      <c r="A578" s="17">
        <v>576</v>
      </c>
      <c r="B578" s="18" t="s">
        <v>2468</v>
      </c>
      <c r="C578" s="68" t="s">
        <v>2469</v>
      </c>
      <c r="D578" s="69" t="s">
        <v>2470</v>
      </c>
      <c r="E578" s="70">
        <v>200000</v>
      </c>
      <c r="F578" s="69" t="s">
        <v>2471</v>
      </c>
      <c r="G578" s="69" t="s">
        <v>21</v>
      </c>
      <c r="H578" s="71" t="s">
        <v>1363</v>
      </c>
      <c r="I578" s="71" t="s">
        <v>1363</v>
      </c>
      <c r="J578" s="24" t="s">
        <v>56</v>
      </c>
      <c r="K578" s="25">
        <f t="shared" si="49"/>
        <v>45979</v>
      </c>
      <c r="L578" s="26" t="str">
        <f t="shared" si="50"/>
        <v>Nov 25</v>
      </c>
      <c r="M578" s="26" t="str">
        <f t="shared" si="51"/>
        <v>2025</v>
      </c>
      <c r="N578" s="23" t="s">
        <v>63</v>
      </c>
      <c r="O578" s="25">
        <f t="shared" si="54"/>
        <v>46003</v>
      </c>
      <c r="P578" s="27">
        <f t="shared" si="52"/>
        <v>0</v>
      </c>
      <c r="Q578" s="27">
        <f t="shared" si="53"/>
        <v>0</v>
      </c>
      <c r="R578" s="28" t="s">
        <v>92</v>
      </c>
      <c r="S578" s="21">
        <v>36610</v>
      </c>
      <c r="T578" s="18" t="s">
        <v>23</v>
      </c>
      <c r="U578" s="14"/>
    </row>
    <row r="579" spans="1:21" x14ac:dyDescent="0.2">
      <c r="A579" s="17">
        <v>577</v>
      </c>
      <c r="B579" s="17" t="s">
        <v>2472</v>
      </c>
      <c r="C579" s="68" t="s">
        <v>2473</v>
      </c>
      <c r="D579" s="69" t="s">
        <v>2474</v>
      </c>
      <c r="E579" s="70">
        <v>500000</v>
      </c>
      <c r="F579" s="69" t="s">
        <v>21</v>
      </c>
      <c r="G579" s="69" t="s">
        <v>21</v>
      </c>
      <c r="H579" s="71" t="s">
        <v>152</v>
      </c>
      <c r="I579" s="71" t="s">
        <v>510</v>
      </c>
      <c r="J579" s="72" t="s">
        <v>70</v>
      </c>
      <c r="K579" s="25">
        <f t="shared" si="49"/>
        <v>45897</v>
      </c>
      <c r="L579" s="26" t="str">
        <f t="shared" si="50"/>
        <v>Aug 25</v>
      </c>
      <c r="M579" s="26" t="str">
        <f t="shared" si="51"/>
        <v>2025</v>
      </c>
      <c r="N579" s="71" t="s">
        <v>1294</v>
      </c>
      <c r="O579" s="25">
        <f t="shared" si="54"/>
        <v>45898</v>
      </c>
      <c r="P579" s="27">
        <f t="shared" si="52"/>
        <v>0</v>
      </c>
      <c r="Q579" s="27">
        <f t="shared" si="53"/>
        <v>0</v>
      </c>
      <c r="R579" s="17" t="s">
        <v>2475</v>
      </c>
      <c r="S579" s="70">
        <v>0</v>
      </c>
      <c r="T579" s="18" t="s">
        <v>23</v>
      </c>
      <c r="U579" s="14"/>
    </row>
    <row r="580" spans="1:21" x14ac:dyDescent="0.2">
      <c r="A580" s="17">
        <v>578</v>
      </c>
      <c r="B580" s="17" t="s">
        <v>2472</v>
      </c>
      <c r="C580" s="68" t="s">
        <v>2473</v>
      </c>
      <c r="D580" s="69" t="s">
        <v>2474</v>
      </c>
      <c r="E580" s="70">
        <v>500000</v>
      </c>
      <c r="F580" s="69" t="s">
        <v>21</v>
      </c>
      <c r="G580" s="69" t="s">
        <v>21</v>
      </c>
      <c r="H580" s="71" t="s">
        <v>152</v>
      </c>
      <c r="I580" s="71" t="s">
        <v>510</v>
      </c>
      <c r="J580" s="72" t="s">
        <v>1667</v>
      </c>
      <c r="K580" s="25">
        <f t="shared" ref="K580:K643" si="55">DATE(RIGHT(J580,4),MID(J580,4,2),LEFT(J580,2))</f>
        <v>46004</v>
      </c>
      <c r="L580" s="26" t="str">
        <f t="shared" ref="L580:L643" si="56">TEXT(K580,"MMM YY")</f>
        <v>Dec 25</v>
      </c>
      <c r="M580" s="26" t="str">
        <f t="shared" ref="M580:M643" si="57">TEXT(K580,"yyyy")</f>
        <v>2025</v>
      </c>
      <c r="N580" s="71" t="s">
        <v>2476</v>
      </c>
      <c r="O580" s="25">
        <f t="shared" si="54"/>
        <v>46014</v>
      </c>
      <c r="P580" s="27">
        <f t="shared" ref="P580:P643" si="58">DATEDIF(K580,O580,"M")</f>
        <v>0</v>
      </c>
      <c r="Q580" s="27">
        <f t="shared" ref="Q580:Q643" si="59">YEAR(O580)-YEAR(K580)</f>
        <v>0</v>
      </c>
      <c r="R580" s="17" t="s">
        <v>37</v>
      </c>
      <c r="S580" s="70">
        <v>450000</v>
      </c>
      <c r="T580" s="18" t="s">
        <v>23</v>
      </c>
      <c r="U580" s="14"/>
    </row>
    <row r="581" spans="1:21" x14ac:dyDescent="0.2">
      <c r="A581" s="17">
        <v>579</v>
      </c>
      <c r="B581" s="17" t="s">
        <v>2477</v>
      </c>
      <c r="C581" s="19" t="s">
        <v>2478</v>
      </c>
      <c r="D581" s="20" t="s">
        <v>2479</v>
      </c>
      <c r="E581" s="21" t="s">
        <v>374</v>
      </c>
      <c r="F581" s="20" t="s">
        <v>1873</v>
      </c>
      <c r="G581" s="20" t="s">
        <v>2480</v>
      </c>
      <c r="H581" s="22" t="s">
        <v>790</v>
      </c>
      <c r="I581" s="23" t="s">
        <v>1175</v>
      </c>
      <c r="J581" s="72" t="s">
        <v>922</v>
      </c>
      <c r="K581" s="25">
        <f t="shared" si="55"/>
        <v>45809</v>
      </c>
      <c r="L581" s="26" t="str">
        <f t="shared" si="56"/>
        <v>Jun 25</v>
      </c>
      <c r="M581" s="26" t="str">
        <f t="shared" si="57"/>
        <v>2025</v>
      </c>
      <c r="N581" s="71" t="s">
        <v>1374</v>
      </c>
      <c r="O581" s="25">
        <f t="shared" si="54"/>
        <v>45919</v>
      </c>
      <c r="P581" s="27">
        <f t="shared" si="58"/>
        <v>3</v>
      </c>
      <c r="Q581" s="27">
        <f t="shared" si="59"/>
        <v>0</v>
      </c>
      <c r="R581" s="17" t="s">
        <v>22</v>
      </c>
      <c r="S581" s="70">
        <v>28071</v>
      </c>
      <c r="T581" s="18" t="s">
        <v>23</v>
      </c>
      <c r="U581" s="14"/>
    </row>
    <row r="582" spans="1:21" x14ac:dyDescent="0.2">
      <c r="A582" s="17">
        <v>580</v>
      </c>
      <c r="B582" s="18" t="s">
        <v>2481</v>
      </c>
      <c r="C582" s="68" t="s">
        <v>2482</v>
      </c>
      <c r="D582" s="69" t="s">
        <v>2483</v>
      </c>
      <c r="E582" s="70">
        <v>650000</v>
      </c>
      <c r="F582" s="69" t="s">
        <v>21</v>
      </c>
      <c r="G582" s="69" t="s">
        <v>21</v>
      </c>
      <c r="H582" s="71">
        <v>45882</v>
      </c>
      <c r="I582" s="71">
        <v>46065</v>
      </c>
      <c r="J582" s="24">
        <v>45910</v>
      </c>
      <c r="K582" s="25">
        <f t="shared" si="55"/>
        <v>1464941</v>
      </c>
      <c r="L582" s="26" t="str">
        <f t="shared" si="56"/>
        <v>Nov 10</v>
      </c>
      <c r="M582" s="26" t="str">
        <f t="shared" si="57"/>
        <v>5910</v>
      </c>
      <c r="N582" s="23">
        <v>45933</v>
      </c>
      <c r="O582" s="25">
        <f t="shared" si="54"/>
        <v>1474042</v>
      </c>
      <c r="P582" s="27">
        <f t="shared" si="58"/>
        <v>299</v>
      </c>
      <c r="Q582" s="27">
        <f t="shared" si="59"/>
        <v>25</v>
      </c>
      <c r="R582" s="28" t="s">
        <v>22</v>
      </c>
      <c r="S582" s="21">
        <v>9918</v>
      </c>
      <c r="T582" s="18" t="s">
        <v>23</v>
      </c>
      <c r="U582" s="14"/>
    </row>
    <row r="583" spans="1:21" x14ac:dyDescent="0.2">
      <c r="A583" s="17">
        <v>581</v>
      </c>
      <c r="B583" s="17" t="s">
        <v>2484</v>
      </c>
      <c r="C583" s="18" t="s">
        <v>2485</v>
      </c>
      <c r="D583" s="20" t="s">
        <v>2486</v>
      </c>
      <c r="E583" s="21">
        <v>150000</v>
      </c>
      <c r="F583" s="20" t="s">
        <v>21</v>
      </c>
      <c r="G583" s="20" t="s">
        <v>21</v>
      </c>
      <c r="H583" s="22" t="s">
        <v>1290</v>
      </c>
      <c r="I583" s="23" t="s">
        <v>2487</v>
      </c>
      <c r="J583" s="72" t="s">
        <v>1794</v>
      </c>
      <c r="K583" s="25">
        <f t="shared" si="55"/>
        <v>45983</v>
      </c>
      <c r="L583" s="26" t="str">
        <f t="shared" si="56"/>
        <v>Nov 25</v>
      </c>
      <c r="M583" s="26" t="str">
        <f t="shared" si="57"/>
        <v>2025</v>
      </c>
      <c r="N583" s="71" t="s">
        <v>1736</v>
      </c>
      <c r="O583" s="25">
        <f t="shared" si="54"/>
        <v>46010</v>
      </c>
      <c r="P583" s="27">
        <f t="shared" si="58"/>
        <v>0</v>
      </c>
      <c r="Q583" s="27">
        <f t="shared" si="59"/>
        <v>0</v>
      </c>
      <c r="R583" s="17" t="s">
        <v>37</v>
      </c>
      <c r="S583" s="70">
        <v>16650</v>
      </c>
      <c r="T583" s="18" t="s">
        <v>23</v>
      </c>
      <c r="U583" s="14"/>
    </row>
    <row r="584" spans="1:21" x14ac:dyDescent="0.2">
      <c r="A584" s="17">
        <v>582</v>
      </c>
      <c r="B584" s="18" t="s">
        <v>2488</v>
      </c>
      <c r="C584" s="18" t="s">
        <v>2489</v>
      </c>
      <c r="D584" s="20" t="s">
        <v>2490</v>
      </c>
      <c r="E584" s="21">
        <v>800000</v>
      </c>
      <c r="F584" s="20" t="s">
        <v>21</v>
      </c>
      <c r="G584" s="20" t="s">
        <v>21</v>
      </c>
      <c r="H584" s="22">
        <v>1.012025</v>
      </c>
      <c r="I584" s="23" t="s">
        <v>141</v>
      </c>
      <c r="J584" s="24" t="s">
        <v>807</v>
      </c>
      <c r="K584" s="25">
        <f t="shared" si="55"/>
        <v>45788</v>
      </c>
      <c r="L584" s="26" t="str">
        <f t="shared" si="56"/>
        <v>May 25</v>
      </c>
      <c r="M584" s="26" t="str">
        <f t="shared" si="57"/>
        <v>2025</v>
      </c>
      <c r="N584" s="23" t="s">
        <v>97</v>
      </c>
      <c r="O584" s="25">
        <f t="shared" si="54"/>
        <v>45796</v>
      </c>
      <c r="P584" s="27">
        <f t="shared" si="58"/>
        <v>0</v>
      </c>
      <c r="Q584" s="27">
        <f t="shared" si="59"/>
        <v>0</v>
      </c>
      <c r="R584" s="28" t="s">
        <v>22</v>
      </c>
      <c r="S584" s="21">
        <v>12227</v>
      </c>
      <c r="T584" s="18" t="s">
        <v>23</v>
      </c>
      <c r="U584" s="14"/>
    </row>
    <row r="585" spans="1:21" x14ac:dyDescent="0.2">
      <c r="A585" s="17">
        <v>583</v>
      </c>
      <c r="B585" s="18" t="s">
        <v>2491</v>
      </c>
      <c r="C585" s="19" t="s">
        <v>2492</v>
      </c>
      <c r="D585" s="20" t="s">
        <v>2493</v>
      </c>
      <c r="E585" s="21">
        <v>250000</v>
      </c>
      <c r="F585" s="20" t="s">
        <v>21</v>
      </c>
      <c r="G585" s="20" t="s">
        <v>21</v>
      </c>
      <c r="H585" s="22" t="s">
        <v>2494</v>
      </c>
      <c r="I585" s="23" t="s">
        <v>970</v>
      </c>
      <c r="J585" s="24" t="s">
        <v>2225</v>
      </c>
      <c r="K585" s="25">
        <f t="shared" si="55"/>
        <v>45650</v>
      </c>
      <c r="L585" s="26" t="str">
        <f t="shared" si="56"/>
        <v>Dec 24</v>
      </c>
      <c r="M585" s="26" t="str">
        <f t="shared" si="57"/>
        <v>2024</v>
      </c>
      <c r="N585" s="23" t="s">
        <v>120</v>
      </c>
      <c r="O585" s="25">
        <f t="shared" si="54"/>
        <v>45660</v>
      </c>
      <c r="P585" s="27">
        <f t="shared" si="58"/>
        <v>0</v>
      </c>
      <c r="Q585" s="27">
        <f t="shared" si="59"/>
        <v>1</v>
      </c>
      <c r="R585" s="28" t="s">
        <v>22</v>
      </c>
      <c r="S585" s="21">
        <v>126793.8</v>
      </c>
      <c r="T585" s="18" t="s">
        <v>23</v>
      </c>
      <c r="U585" s="14"/>
    </row>
    <row r="586" spans="1:21" x14ac:dyDescent="0.2">
      <c r="A586" s="17">
        <v>584</v>
      </c>
      <c r="B586" s="18" t="s">
        <v>2495</v>
      </c>
      <c r="C586" s="19" t="s">
        <v>2496</v>
      </c>
      <c r="D586" s="20" t="s">
        <v>2497</v>
      </c>
      <c r="E586" s="21">
        <v>921957</v>
      </c>
      <c r="F586" s="20" t="s">
        <v>21</v>
      </c>
      <c r="G586" s="20" t="s">
        <v>21</v>
      </c>
      <c r="H586" s="22" t="s">
        <v>2245</v>
      </c>
      <c r="I586" s="23" t="s">
        <v>1170</v>
      </c>
      <c r="J586" s="24" t="s">
        <v>152</v>
      </c>
      <c r="K586" s="25">
        <f t="shared" si="55"/>
        <v>45659</v>
      </c>
      <c r="L586" s="26" t="str">
        <f t="shared" si="56"/>
        <v>Jan 25</v>
      </c>
      <c r="M586" s="26" t="str">
        <f t="shared" si="57"/>
        <v>2025</v>
      </c>
      <c r="N586" s="23" t="s">
        <v>142</v>
      </c>
      <c r="O586" s="25">
        <f t="shared" si="54"/>
        <v>45665</v>
      </c>
      <c r="P586" s="27">
        <f t="shared" si="58"/>
        <v>0</v>
      </c>
      <c r="Q586" s="27">
        <f t="shared" si="59"/>
        <v>0</v>
      </c>
      <c r="R586" s="28" t="s">
        <v>22</v>
      </c>
      <c r="S586" s="21">
        <v>6786</v>
      </c>
      <c r="T586" s="18" t="s">
        <v>23</v>
      </c>
      <c r="U586" s="14"/>
    </row>
    <row r="587" spans="1:21" x14ac:dyDescent="0.2">
      <c r="A587" s="17">
        <v>585</v>
      </c>
      <c r="B587" s="18" t="s">
        <v>2498</v>
      </c>
      <c r="C587" s="19" t="s">
        <v>2499</v>
      </c>
      <c r="D587" s="74" t="s">
        <v>2500</v>
      </c>
      <c r="E587" s="21">
        <v>80000</v>
      </c>
      <c r="F587" s="20" t="s">
        <v>2501</v>
      </c>
      <c r="G587" s="20" t="s">
        <v>21</v>
      </c>
      <c r="H587" s="22" t="s">
        <v>56</v>
      </c>
      <c r="I587" s="23" t="s">
        <v>1601</v>
      </c>
      <c r="J587" s="24" t="s">
        <v>1001</v>
      </c>
      <c r="K587" s="25">
        <f t="shared" si="55"/>
        <v>45837</v>
      </c>
      <c r="L587" s="26" t="str">
        <f t="shared" si="56"/>
        <v>Jun 25</v>
      </c>
      <c r="M587" s="26" t="str">
        <f t="shared" si="57"/>
        <v>2025</v>
      </c>
      <c r="N587" s="23" t="s">
        <v>325</v>
      </c>
      <c r="O587" s="25">
        <f t="shared" si="54"/>
        <v>182</v>
      </c>
      <c r="P587" s="27" t="e">
        <f t="shared" si="58"/>
        <v>#NUM!</v>
      </c>
      <c r="Q587" s="27">
        <f t="shared" si="59"/>
        <v>-125</v>
      </c>
      <c r="R587" s="28" t="s">
        <v>22</v>
      </c>
      <c r="S587" s="21">
        <v>10665</v>
      </c>
      <c r="T587" s="18" t="s">
        <v>23</v>
      </c>
      <c r="U587" s="14"/>
    </row>
    <row r="588" spans="1:21" x14ac:dyDescent="0.2">
      <c r="A588" s="17">
        <v>586</v>
      </c>
      <c r="B588" s="18" t="s">
        <v>2502</v>
      </c>
      <c r="C588" s="68" t="s">
        <v>2503</v>
      </c>
      <c r="D588" s="69" t="s">
        <v>2504</v>
      </c>
      <c r="E588" s="70">
        <v>150000</v>
      </c>
      <c r="F588" s="69" t="s">
        <v>21</v>
      </c>
      <c r="G588" s="69" t="s">
        <v>21</v>
      </c>
      <c r="H588" s="71" t="s">
        <v>2505</v>
      </c>
      <c r="I588" s="71" t="s">
        <v>2186</v>
      </c>
      <c r="J588" s="24" t="s">
        <v>229</v>
      </c>
      <c r="K588" s="25">
        <f t="shared" si="55"/>
        <v>45678</v>
      </c>
      <c r="L588" s="26" t="str">
        <f t="shared" si="56"/>
        <v>Jan 25</v>
      </c>
      <c r="M588" s="26" t="str">
        <f t="shared" si="57"/>
        <v>2025</v>
      </c>
      <c r="N588" s="23" t="s">
        <v>120</v>
      </c>
      <c r="O588" s="25">
        <f t="shared" si="54"/>
        <v>45660</v>
      </c>
      <c r="P588" s="27" t="e">
        <f t="shared" si="58"/>
        <v>#NUM!</v>
      </c>
      <c r="Q588" s="27">
        <f t="shared" si="59"/>
        <v>0</v>
      </c>
      <c r="R588" s="28" t="s">
        <v>22</v>
      </c>
      <c r="S588" s="21">
        <v>14198</v>
      </c>
      <c r="T588" s="18" t="s">
        <v>23</v>
      </c>
      <c r="U588" s="14"/>
    </row>
    <row r="589" spans="1:21" x14ac:dyDescent="0.2">
      <c r="A589" s="17">
        <v>587</v>
      </c>
      <c r="B589" s="17" t="s">
        <v>2506</v>
      </c>
      <c r="C589" s="19" t="s">
        <v>2507</v>
      </c>
      <c r="D589" s="20" t="s">
        <v>2508</v>
      </c>
      <c r="E589" s="21">
        <v>80000</v>
      </c>
      <c r="F589" s="20" t="s">
        <v>2509</v>
      </c>
      <c r="G589" s="20" t="s">
        <v>2510</v>
      </c>
      <c r="H589" s="22" t="s">
        <v>2306</v>
      </c>
      <c r="I589" s="23" t="s">
        <v>2511</v>
      </c>
      <c r="J589" s="72" t="s">
        <v>2512</v>
      </c>
      <c r="K589" s="25">
        <f t="shared" si="55"/>
        <v>45633</v>
      </c>
      <c r="L589" s="26" t="str">
        <f t="shared" si="56"/>
        <v>Dec 24</v>
      </c>
      <c r="M589" s="26" t="str">
        <f t="shared" si="57"/>
        <v>2024</v>
      </c>
      <c r="N589" s="71" t="s">
        <v>288</v>
      </c>
      <c r="O589" s="25">
        <f t="shared" si="54"/>
        <v>45700</v>
      </c>
      <c r="P589" s="27">
        <f t="shared" si="58"/>
        <v>2</v>
      </c>
      <c r="Q589" s="27">
        <f t="shared" si="59"/>
        <v>1</v>
      </c>
      <c r="R589" s="17" t="s">
        <v>22</v>
      </c>
      <c r="S589" s="70">
        <v>8131</v>
      </c>
      <c r="T589" s="18" t="s">
        <v>23</v>
      </c>
      <c r="U589" s="14"/>
    </row>
    <row r="590" spans="1:21" x14ac:dyDescent="0.2">
      <c r="A590" s="17">
        <v>588</v>
      </c>
      <c r="B590" s="18" t="s">
        <v>2513</v>
      </c>
      <c r="C590" s="19" t="s">
        <v>2514</v>
      </c>
      <c r="D590" s="20" t="s">
        <v>2515</v>
      </c>
      <c r="E590" s="21">
        <v>300000</v>
      </c>
      <c r="F590" s="20" t="s">
        <v>2516</v>
      </c>
      <c r="G590" s="20" t="s">
        <v>21</v>
      </c>
      <c r="H590" s="22" t="s">
        <v>732</v>
      </c>
      <c r="I590" s="23" t="s">
        <v>1189</v>
      </c>
      <c r="J590" s="24" t="s">
        <v>228</v>
      </c>
      <c r="K590" s="25">
        <f t="shared" si="55"/>
        <v>45696</v>
      </c>
      <c r="L590" s="26" t="str">
        <f t="shared" si="56"/>
        <v>Feb 25</v>
      </c>
      <c r="M590" s="26" t="str">
        <f t="shared" si="57"/>
        <v>2025</v>
      </c>
      <c r="N590" s="23" t="s">
        <v>349</v>
      </c>
      <c r="O590" s="25">
        <f t="shared" si="54"/>
        <v>45705</v>
      </c>
      <c r="P590" s="27">
        <f t="shared" si="58"/>
        <v>0</v>
      </c>
      <c r="Q590" s="27">
        <f t="shared" si="59"/>
        <v>0</v>
      </c>
      <c r="R590" s="28" t="s">
        <v>22</v>
      </c>
      <c r="S590" s="21">
        <v>58401</v>
      </c>
      <c r="T590" s="18" t="s">
        <v>23</v>
      </c>
      <c r="U590" s="14"/>
    </row>
    <row r="591" spans="1:21" x14ac:dyDescent="0.2">
      <c r="A591" s="17">
        <v>589</v>
      </c>
      <c r="B591" s="18" t="s">
        <v>2517</v>
      </c>
      <c r="C591" s="68" t="s">
        <v>2518</v>
      </c>
      <c r="D591" s="69" t="s">
        <v>2519</v>
      </c>
      <c r="E591" s="70">
        <v>250000</v>
      </c>
      <c r="F591" s="69" t="s">
        <v>21</v>
      </c>
      <c r="G591" s="69" t="s">
        <v>21</v>
      </c>
      <c r="H591" s="71" t="s">
        <v>235</v>
      </c>
      <c r="I591" s="71" t="s">
        <v>303</v>
      </c>
      <c r="J591" s="24" t="s">
        <v>103</v>
      </c>
      <c r="K591" s="25">
        <f t="shared" si="55"/>
        <v>45719</v>
      </c>
      <c r="L591" s="26" t="str">
        <f t="shared" si="56"/>
        <v>Mar 25</v>
      </c>
      <c r="M591" s="26" t="str">
        <f t="shared" si="57"/>
        <v>2025</v>
      </c>
      <c r="N591" s="23" t="s">
        <v>423</v>
      </c>
      <c r="O591" s="25">
        <f t="shared" si="54"/>
        <v>45721</v>
      </c>
      <c r="P591" s="27">
        <f t="shared" si="58"/>
        <v>0</v>
      </c>
      <c r="Q591" s="27">
        <f t="shared" si="59"/>
        <v>0</v>
      </c>
      <c r="R591" s="28" t="s">
        <v>22</v>
      </c>
      <c r="S591" s="21">
        <v>225000</v>
      </c>
      <c r="T591" s="18" t="s">
        <v>23</v>
      </c>
      <c r="U591" s="14"/>
    </row>
    <row r="592" spans="1:21" x14ac:dyDescent="0.2">
      <c r="A592" s="17">
        <v>590</v>
      </c>
      <c r="B592" s="17" t="s">
        <v>2520</v>
      </c>
      <c r="C592" s="68" t="s">
        <v>2521</v>
      </c>
      <c r="D592" s="69" t="s">
        <v>2522</v>
      </c>
      <c r="E592" s="70">
        <v>110000</v>
      </c>
      <c r="F592" s="69" t="s">
        <v>21</v>
      </c>
      <c r="G592" s="69" t="s">
        <v>21</v>
      </c>
      <c r="H592" s="71" t="s">
        <v>545</v>
      </c>
      <c r="I592" s="71" t="s">
        <v>611</v>
      </c>
      <c r="J592" s="72" t="s">
        <v>103</v>
      </c>
      <c r="K592" s="25">
        <f t="shared" si="55"/>
        <v>45719</v>
      </c>
      <c r="L592" s="26" t="str">
        <f t="shared" si="56"/>
        <v>Mar 25</v>
      </c>
      <c r="M592" s="26" t="str">
        <f t="shared" si="57"/>
        <v>2025</v>
      </c>
      <c r="N592" s="71" t="s">
        <v>437</v>
      </c>
      <c r="O592" s="25">
        <f t="shared" si="54"/>
        <v>45722</v>
      </c>
      <c r="P592" s="27">
        <f t="shared" si="58"/>
        <v>0</v>
      </c>
      <c r="Q592" s="27">
        <f t="shared" si="59"/>
        <v>0</v>
      </c>
      <c r="R592" s="17" t="s">
        <v>65</v>
      </c>
      <c r="S592" s="70">
        <v>31215</v>
      </c>
      <c r="T592" s="18" t="s">
        <v>23</v>
      </c>
      <c r="U592" s="14"/>
    </row>
    <row r="593" spans="1:21" x14ac:dyDescent="0.2">
      <c r="A593" s="17">
        <v>591</v>
      </c>
      <c r="B593" s="17" t="s">
        <v>2523</v>
      </c>
      <c r="C593" s="19"/>
      <c r="D593" s="20" t="s">
        <v>2524</v>
      </c>
      <c r="E593" s="21">
        <v>250000</v>
      </c>
      <c r="F593" s="20" t="s">
        <v>21</v>
      </c>
      <c r="G593" s="20" t="s">
        <v>21</v>
      </c>
      <c r="H593" s="22" t="s">
        <v>287</v>
      </c>
      <c r="I593" s="23" t="s">
        <v>1621</v>
      </c>
      <c r="J593" s="72" t="s">
        <v>646</v>
      </c>
      <c r="K593" s="25">
        <f t="shared" si="55"/>
        <v>45739</v>
      </c>
      <c r="L593" s="26" t="str">
        <f t="shared" si="56"/>
        <v>Mar 25</v>
      </c>
      <c r="M593" s="26" t="str">
        <f t="shared" si="57"/>
        <v>2025</v>
      </c>
      <c r="N593" s="71" t="s">
        <v>611</v>
      </c>
      <c r="O593" s="25">
        <f t="shared" si="54"/>
        <v>45754</v>
      </c>
      <c r="P593" s="27">
        <f t="shared" si="58"/>
        <v>0</v>
      </c>
      <c r="Q593" s="27">
        <f t="shared" si="59"/>
        <v>0</v>
      </c>
      <c r="R593" s="17" t="s">
        <v>22</v>
      </c>
      <c r="S593" s="70">
        <v>90228.74</v>
      </c>
      <c r="T593" s="18" t="s">
        <v>23</v>
      </c>
      <c r="U593" s="14"/>
    </row>
    <row r="594" spans="1:21" x14ac:dyDescent="0.2">
      <c r="A594" s="17">
        <v>592</v>
      </c>
      <c r="B594" s="18" t="s">
        <v>2525</v>
      </c>
      <c r="C594" s="68" t="s">
        <v>2526</v>
      </c>
      <c r="D594" s="69" t="s">
        <v>2527</v>
      </c>
      <c r="E594" s="70" t="s">
        <v>374</v>
      </c>
      <c r="F594" s="69" t="s">
        <v>21</v>
      </c>
      <c r="G594" s="69" t="s">
        <v>2528</v>
      </c>
      <c r="H594" s="71" t="s">
        <v>177</v>
      </c>
      <c r="I594" s="71" t="s">
        <v>98</v>
      </c>
      <c r="J594" s="24" t="s">
        <v>264</v>
      </c>
      <c r="K594" s="25">
        <f t="shared" si="55"/>
        <v>45656</v>
      </c>
      <c r="L594" s="26" t="str">
        <f t="shared" si="56"/>
        <v>Dec 24</v>
      </c>
      <c r="M594" s="26" t="str">
        <f t="shared" si="57"/>
        <v>2024</v>
      </c>
      <c r="N594" s="23" t="s">
        <v>258</v>
      </c>
      <c r="O594" s="25">
        <f t="shared" si="54"/>
        <v>45945</v>
      </c>
      <c r="P594" s="27">
        <f t="shared" si="58"/>
        <v>9</v>
      </c>
      <c r="Q594" s="27">
        <f t="shared" si="59"/>
        <v>1</v>
      </c>
      <c r="R594" s="28" t="s">
        <v>1672</v>
      </c>
      <c r="S594" s="21">
        <v>55000</v>
      </c>
      <c r="T594" s="18" t="s">
        <v>23</v>
      </c>
      <c r="U594" s="14"/>
    </row>
    <row r="595" spans="1:21" x14ac:dyDescent="0.2">
      <c r="A595" s="17">
        <v>593</v>
      </c>
      <c r="B595" s="17" t="s">
        <v>2529</v>
      </c>
      <c r="C595" s="68" t="s">
        <v>2530</v>
      </c>
      <c r="D595" s="69" t="s">
        <v>2531</v>
      </c>
      <c r="E595" s="70">
        <v>100000</v>
      </c>
      <c r="F595" s="69" t="s">
        <v>21</v>
      </c>
      <c r="G595" s="69" t="s">
        <v>21</v>
      </c>
      <c r="H595" s="71" t="s">
        <v>1625</v>
      </c>
      <c r="I595" s="71" t="s">
        <v>1317</v>
      </c>
      <c r="J595" s="72" t="s">
        <v>536</v>
      </c>
      <c r="K595" s="25">
        <f t="shared" si="55"/>
        <v>45751</v>
      </c>
      <c r="L595" s="26" t="str">
        <f t="shared" si="56"/>
        <v>Apr 25</v>
      </c>
      <c r="M595" s="26" t="str">
        <f t="shared" si="57"/>
        <v>2025</v>
      </c>
      <c r="N595" s="71" t="s">
        <v>728</v>
      </c>
      <c r="O595" s="25">
        <f t="shared" ref="O595:O653" si="60">DATE(RIGHT(N595,4),MID(N595,4,2),LEFT(N595,2))</f>
        <v>45764</v>
      </c>
      <c r="P595" s="27">
        <f t="shared" si="58"/>
        <v>0</v>
      </c>
      <c r="Q595" s="27">
        <f t="shared" si="59"/>
        <v>0</v>
      </c>
      <c r="R595" s="17" t="s">
        <v>22</v>
      </c>
      <c r="S595" s="70">
        <v>5394</v>
      </c>
      <c r="T595" s="18" t="s">
        <v>23</v>
      </c>
      <c r="U595" s="14"/>
    </row>
    <row r="596" spans="1:21" x14ac:dyDescent="0.2">
      <c r="A596" s="17">
        <v>594</v>
      </c>
      <c r="B596" s="17" t="s">
        <v>2532</v>
      </c>
      <c r="C596" s="19" t="s">
        <v>2533</v>
      </c>
      <c r="D596" s="20" t="s">
        <v>2534</v>
      </c>
      <c r="E596" s="21">
        <v>130000</v>
      </c>
      <c r="F596" s="20" t="s">
        <v>21</v>
      </c>
      <c r="G596" s="20" t="s">
        <v>21</v>
      </c>
      <c r="H596" s="22" t="s">
        <v>186</v>
      </c>
      <c r="I596" s="23" t="s">
        <v>34</v>
      </c>
      <c r="J596" s="72" t="s">
        <v>576</v>
      </c>
      <c r="K596" s="25">
        <f t="shared" si="55"/>
        <v>45769</v>
      </c>
      <c r="L596" s="26" t="str">
        <f t="shared" si="56"/>
        <v>Apr 25</v>
      </c>
      <c r="M596" s="26" t="str">
        <f t="shared" si="57"/>
        <v>2025</v>
      </c>
      <c r="N596" s="71" t="s">
        <v>746</v>
      </c>
      <c r="O596" s="25">
        <f t="shared" si="60"/>
        <v>45785</v>
      </c>
      <c r="P596" s="27">
        <f t="shared" si="58"/>
        <v>0</v>
      </c>
      <c r="Q596" s="27">
        <f t="shared" si="59"/>
        <v>0</v>
      </c>
      <c r="R596" s="17" t="s">
        <v>22</v>
      </c>
      <c r="S596" s="70">
        <v>10170</v>
      </c>
      <c r="T596" s="18" t="s">
        <v>23</v>
      </c>
      <c r="U596" s="14"/>
    </row>
    <row r="597" spans="1:21" x14ac:dyDescent="0.2">
      <c r="A597" s="17">
        <v>595</v>
      </c>
      <c r="B597" s="18" t="s">
        <v>2535</v>
      </c>
      <c r="C597" s="68" t="s">
        <v>2536</v>
      </c>
      <c r="D597" s="69" t="s">
        <v>2537</v>
      </c>
      <c r="E597" s="70">
        <v>245000</v>
      </c>
      <c r="F597" s="69" t="s">
        <v>2538</v>
      </c>
      <c r="G597" s="69" t="s">
        <v>21</v>
      </c>
      <c r="H597" s="71" t="s">
        <v>2539</v>
      </c>
      <c r="I597" s="71" t="s">
        <v>887</v>
      </c>
      <c r="J597" s="24" t="s">
        <v>713</v>
      </c>
      <c r="K597" s="25">
        <f t="shared" si="55"/>
        <v>45779</v>
      </c>
      <c r="L597" s="26" t="str">
        <f t="shared" si="56"/>
        <v>May 25</v>
      </c>
      <c r="M597" s="26" t="str">
        <f t="shared" si="57"/>
        <v>2025</v>
      </c>
      <c r="N597" s="23" t="s">
        <v>1145</v>
      </c>
      <c r="O597" s="25">
        <f t="shared" si="60"/>
        <v>45877</v>
      </c>
      <c r="P597" s="27">
        <f t="shared" si="58"/>
        <v>3</v>
      </c>
      <c r="Q597" s="27">
        <f t="shared" si="59"/>
        <v>0</v>
      </c>
      <c r="R597" s="28" t="s">
        <v>894</v>
      </c>
      <c r="S597" s="21">
        <v>13572</v>
      </c>
      <c r="T597" s="18" t="s">
        <v>23</v>
      </c>
      <c r="U597" s="14"/>
    </row>
    <row r="598" spans="1:21" x14ac:dyDescent="0.2">
      <c r="A598" s="17">
        <v>596</v>
      </c>
      <c r="B598" s="17" t="s">
        <v>2540</v>
      </c>
      <c r="C598" s="68" t="s">
        <v>2541</v>
      </c>
      <c r="D598" s="69" t="s">
        <v>2542</v>
      </c>
      <c r="E598" s="70">
        <v>100000</v>
      </c>
      <c r="F598" s="69" t="s">
        <v>21</v>
      </c>
      <c r="G598" s="69" t="s">
        <v>21</v>
      </c>
      <c r="H598" s="71" t="s">
        <v>611</v>
      </c>
      <c r="I598" s="71" t="s">
        <v>2543</v>
      </c>
      <c r="J598" s="72" t="s">
        <v>704</v>
      </c>
      <c r="K598" s="25">
        <f t="shared" si="55"/>
        <v>45783</v>
      </c>
      <c r="L598" s="26" t="str">
        <f t="shared" si="56"/>
        <v>May 25</v>
      </c>
      <c r="M598" s="26" t="str">
        <f t="shared" si="57"/>
        <v>2025</v>
      </c>
      <c r="N598" s="71" t="s">
        <v>97</v>
      </c>
      <c r="O598" s="25">
        <f t="shared" si="60"/>
        <v>45796</v>
      </c>
      <c r="P598" s="27">
        <f t="shared" si="58"/>
        <v>0</v>
      </c>
      <c r="Q598" s="27">
        <f t="shared" si="59"/>
        <v>0</v>
      </c>
      <c r="R598" s="17" t="s">
        <v>22</v>
      </c>
      <c r="S598" s="70">
        <v>23796</v>
      </c>
      <c r="T598" s="18" t="s">
        <v>23</v>
      </c>
      <c r="U598" s="14"/>
    </row>
    <row r="599" spans="1:21" x14ac:dyDescent="0.2">
      <c r="A599" s="17">
        <v>597</v>
      </c>
      <c r="B599" s="17" t="s">
        <v>2544</v>
      </c>
      <c r="C599" s="68" t="s">
        <v>2545</v>
      </c>
      <c r="D599" s="69" t="s">
        <v>2546</v>
      </c>
      <c r="E599" s="70">
        <v>180000</v>
      </c>
      <c r="F599" s="69" t="s">
        <v>21</v>
      </c>
      <c r="G599" s="69" t="s">
        <v>21</v>
      </c>
      <c r="H599" s="71" t="s">
        <v>2547</v>
      </c>
      <c r="I599" s="71" t="s">
        <v>926</v>
      </c>
      <c r="J599" s="72" t="s">
        <v>1012</v>
      </c>
      <c r="K599" s="25">
        <f t="shared" si="55"/>
        <v>45787</v>
      </c>
      <c r="L599" s="26" t="str">
        <f t="shared" si="56"/>
        <v>May 25</v>
      </c>
      <c r="M599" s="26" t="str">
        <f t="shared" si="57"/>
        <v>2025</v>
      </c>
      <c r="N599" s="71" t="s">
        <v>813</v>
      </c>
      <c r="O599" s="25">
        <f t="shared" si="60"/>
        <v>45805</v>
      </c>
      <c r="P599" s="27">
        <f t="shared" si="58"/>
        <v>0</v>
      </c>
      <c r="Q599" s="27">
        <f t="shared" si="59"/>
        <v>0</v>
      </c>
      <c r="R599" s="17" t="s">
        <v>22</v>
      </c>
      <c r="S599" s="70">
        <v>22104</v>
      </c>
      <c r="T599" s="18" t="s">
        <v>23</v>
      </c>
      <c r="U599" s="14"/>
    </row>
    <row r="600" spans="1:21" x14ac:dyDescent="0.2">
      <c r="A600" s="17">
        <v>598</v>
      </c>
      <c r="B600" s="17" t="s">
        <v>2548</v>
      </c>
      <c r="C600" s="68" t="s">
        <v>2549</v>
      </c>
      <c r="D600" s="69" t="s">
        <v>2550</v>
      </c>
      <c r="E600" s="70">
        <v>150000</v>
      </c>
      <c r="F600" s="69" t="s">
        <v>21</v>
      </c>
      <c r="G600" s="69" t="s">
        <v>21</v>
      </c>
      <c r="H600" s="71" t="s">
        <v>152</v>
      </c>
      <c r="I600" s="71" t="s">
        <v>510</v>
      </c>
      <c r="J600" s="72" t="s">
        <v>852</v>
      </c>
      <c r="K600" s="25">
        <f t="shared" si="55"/>
        <v>45804</v>
      </c>
      <c r="L600" s="26" t="str">
        <f t="shared" si="56"/>
        <v>May 25</v>
      </c>
      <c r="M600" s="26" t="str">
        <f t="shared" si="57"/>
        <v>2025</v>
      </c>
      <c r="N600" s="71" t="s">
        <v>918</v>
      </c>
      <c r="O600" s="25">
        <f t="shared" si="60"/>
        <v>45824</v>
      </c>
      <c r="P600" s="27">
        <f t="shared" si="58"/>
        <v>0</v>
      </c>
      <c r="Q600" s="27">
        <f t="shared" si="59"/>
        <v>0</v>
      </c>
      <c r="R600" s="17" t="s">
        <v>22</v>
      </c>
      <c r="S600" s="70">
        <v>17748</v>
      </c>
      <c r="T600" s="18" t="s">
        <v>23</v>
      </c>
      <c r="U600" s="14"/>
    </row>
    <row r="601" spans="1:21" x14ac:dyDescent="0.2">
      <c r="A601" s="17">
        <v>599</v>
      </c>
      <c r="B601" s="17" t="s">
        <v>2551</v>
      </c>
      <c r="C601" s="68" t="s">
        <v>2552</v>
      </c>
      <c r="D601" s="69" t="s">
        <v>2553</v>
      </c>
      <c r="E601" s="70">
        <v>15000</v>
      </c>
      <c r="F601" s="69" t="s">
        <v>21</v>
      </c>
      <c r="G601" s="69" t="s">
        <v>21</v>
      </c>
      <c r="H601" s="71" t="s">
        <v>2539</v>
      </c>
      <c r="I601" s="71" t="s">
        <v>887</v>
      </c>
      <c r="J601" s="72" t="s">
        <v>898</v>
      </c>
      <c r="K601" s="25">
        <f t="shared" si="55"/>
        <v>45820</v>
      </c>
      <c r="L601" s="26" t="str">
        <f t="shared" si="56"/>
        <v>Jun 25</v>
      </c>
      <c r="M601" s="26" t="str">
        <f t="shared" si="57"/>
        <v>2025</v>
      </c>
      <c r="N601" s="71" t="s">
        <v>1064</v>
      </c>
      <c r="O601" s="25">
        <f t="shared" si="60"/>
        <v>45834</v>
      </c>
      <c r="P601" s="27">
        <f t="shared" si="58"/>
        <v>0</v>
      </c>
      <c r="Q601" s="27">
        <f t="shared" si="59"/>
        <v>0</v>
      </c>
      <c r="R601" s="17" t="s">
        <v>22</v>
      </c>
      <c r="S601" s="70">
        <v>85000</v>
      </c>
      <c r="T601" s="18" t="s">
        <v>23</v>
      </c>
      <c r="U601" s="14"/>
    </row>
    <row r="602" spans="1:21" x14ac:dyDescent="0.2">
      <c r="A602" s="17">
        <v>600</v>
      </c>
      <c r="B602" s="17" t="s">
        <v>2554</v>
      </c>
      <c r="C602" s="68" t="s">
        <v>2555</v>
      </c>
      <c r="D602" s="69" t="s">
        <v>2556</v>
      </c>
      <c r="E602" s="70">
        <v>210000</v>
      </c>
      <c r="F602" s="69" t="s">
        <v>21</v>
      </c>
      <c r="G602" s="69" t="s">
        <v>21</v>
      </c>
      <c r="H602" s="71" t="s">
        <v>481</v>
      </c>
      <c r="I602" s="71" t="s">
        <v>2557</v>
      </c>
      <c r="J602" s="72" t="s">
        <v>865</v>
      </c>
      <c r="K602" s="25">
        <f t="shared" si="55"/>
        <v>45843</v>
      </c>
      <c r="L602" s="26" t="str">
        <f t="shared" si="56"/>
        <v>Jul 25</v>
      </c>
      <c r="M602" s="26" t="str">
        <f t="shared" si="57"/>
        <v>2025</v>
      </c>
      <c r="N602" s="71" t="s">
        <v>1098</v>
      </c>
      <c r="O602" s="25">
        <f t="shared" si="60"/>
        <v>45854</v>
      </c>
      <c r="P602" s="27">
        <f t="shared" si="58"/>
        <v>0</v>
      </c>
      <c r="Q602" s="27">
        <f t="shared" si="59"/>
        <v>0</v>
      </c>
      <c r="R602" s="17" t="s">
        <v>22</v>
      </c>
      <c r="S602" s="73">
        <v>17910</v>
      </c>
      <c r="T602" s="18" t="s">
        <v>23</v>
      </c>
      <c r="U602" s="14"/>
    </row>
    <row r="603" spans="1:21" x14ac:dyDescent="0.2">
      <c r="A603" s="17">
        <v>601</v>
      </c>
      <c r="B603" s="17" t="s">
        <v>2558</v>
      </c>
      <c r="C603" s="68" t="s">
        <v>2559</v>
      </c>
      <c r="D603" s="69" t="s">
        <v>2560</v>
      </c>
      <c r="E603" s="70">
        <v>60320</v>
      </c>
      <c r="F603" s="69" t="s">
        <v>21</v>
      </c>
      <c r="G603" s="69" t="s">
        <v>21</v>
      </c>
      <c r="H603" s="71" t="s">
        <v>140</v>
      </c>
      <c r="I603" s="71" t="s">
        <v>141</v>
      </c>
      <c r="J603" s="72" t="s">
        <v>865</v>
      </c>
      <c r="K603" s="25">
        <f t="shared" si="55"/>
        <v>45843</v>
      </c>
      <c r="L603" s="26" t="str">
        <f t="shared" si="56"/>
        <v>Jul 25</v>
      </c>
      <c r="M603" s="26" t="str">
        <f t="shared" si="57"/>
        <v>2025</v>
      </c>
      <c r="N603" s="71" t="s">
        <v>1006</v>
      </c>
      <c r="O603" s="25">
        <f t="shared" si="60"/>
        <v>45849</v>
      </c>
      <c r="P603" s="27">
        <f t="shared" si="58"/>
        <v>0</v>
      </c>
      <c r="Q603" s="27">
        <f t="shared" si="59"/>
        <v>0</v>
      </c>
      <c r="R603" s="17" t="s">
        <v>22</v>
      </c>
      <c r="S603" s="70">
        <v>27274.5</v>
      </c>
      <c r="T603" s="18" t="s">
        <v>23</v>
      </c>
      <c r="U603" s="14"/>
    </row>
    <row r="604" spans="1:21" x14ac:dyDescent="0.2">
      <c r="A604" s="17">
        <v>602</v>
      </c>
      <c r="B604" s="17" t="s">
        <v>2561</v>
      </c>
      <c r="C604" s="19" t="s">
        <v>2562</v>
      </c>
      <c r="D604" s="20" t="s">
        <v>2563</v>
      </c>
      <c r="E604" s="21">
        <v>250000</v>
      </c>
      <c r="F604" s="20" t="s">
        <v>21</v>
      </c>
      <c r="G604" s="20" t="s">
        <v>21</v>
      </c>
      <c r="H604" s="22" t="s">
        <v>777</v>
      </c>
      <c r="I604" s="23" t="s">
        <v>2564</v>
      </c>
      <c r="J604" s="72" t="s">
        <v>1169</v>
      </c>
      <c r="K604" s="25">
        <f t="shared" si="55"/>
        <v>45844</v>
      </c>
      <c r="L604" s="26" t="str">
        <f t="shared" si="56"/>
        <v>Jul 25</v>
      </c>
      <c r="M604" s="26" t="str">
        <f t="shared" si="57"/>
        <v>2025</v>
      </c>
      <c r="N604" s="71" t="s">
        <v>1085</v>
      </c>
      <c r="O604" s="25">
        <f t="shared" si="60"/>
        <v>45860</v>
      </c>
      <c r="P604" s="27">
        <f t="shared" si="58"/>
        <v>0</v>
      </c>
      <c r="Q604" s="27">
        <f t="shared" si="59"/>
        <v>0</v>
      </c>
      <c r="R604" s="17" t="s">
        <v>22</v>
      </c>
      <c r="S604" s="70">
        <v>65040.4</v>
      </c>
      <c r="T604" s="18" t="s">
        <v>23</v>
      </c>
      <c r="U604" s="14"/>
    </row>
    <row r="605" spans="1:21" x14ac:dyDescent="0.2">
      <c r="A605" s="17">
        <v>603</v>
      </c>
      <c r="B605" s="18" t="s">
        <v>2565</v>
      </c>
      <c r="C605" s="68" t="s">
        <v>2566</v>
      </c>
      <c r="D605" s="69" t="s">
        <v>2567</v>
      </c>
      <c r="E605" s="70">
        <v>80000</v>
      </c>
      <c r="F605" s="69" t="s">
        <v>21</v>
      </c>
      <c r="G605" s="69" t="s">
        <v>21</v>
      </c>
      <c r="H605" s="71" t="s">
        <v>1063</v>
      </c>
      <c r="I605" s="71" t="s">
        <v>1601</v>
      </c>
      <c r="J605" s="24" t="s">
        <v>2568</v>
      </c>
      <c r="K605" s="25">
        <f t="shared" si="55"/>
        <v>45441</v>
      </c>
      <c r="L605" s="26" t="str">
        <f t="shared" si="56"/>
        <v>May 24</v>
      </c>
      <c r="M605" s="26" t="str">
        <f t="shared" si="57"/>
        <v>2024</v>
      </c>
      <c r="N605" s="23" t="s">
        <v>1085</v>
      </c>
      <c r="O605" s="25">
        <f t="shared" si="60"/>
        <v>45860</v>
      </c>
      <c r="P605" s="27">
        <f t="shared" si="58"/>
        <v>13</v>
      </c>
      <c r="Q605" s="27">
        <f t="shared" si="59"/>
        <v>1</v>
      </c>
      <c r="R605" s="28" t="s">
        <v>22</v>
      </c>
      <c r="S605" s="21">
        <v>37440</v>
      </c>
      <c r="T605" s="18" t="s">
        <v>23</v>
      </c>
      <c r="U605" s="14"/>
    </row>
    <row r="606" spans="1:21" x14ac:dyDescent="0.2">
      <c r="A606" s="17">
        <v>604</v>
      </c>
      <c r="B606" s="17" t="s">
        <v>2569</v>
      </c>
      <c r="C606" s="68" t="s">
        <v>2570</v>
      </c>
      <c r="D606" s="69" t="s">
        <v>2571</v>
      </c>
      <c r="E606" s="70">
        <v>650000</v>
      </c>
      <c r="F606" s="69" t="s">
        <v>21</v>
      </c>
      <c r="G606" s="69" t="s">
        <v>21</v>
      </c>
      <c r="H606" s="71">
        <v>2201.2024999999999</v>
      </c>
      <c r="I606" s="71" t="s">
        <v>229</v>
      </c>
      <c r="J606" s="72" t="s">
        <v>909</v>
      </c>
      <c r="K606" s="25">
        <f t="shared" si="55"/>
        <v>45818</v>
      </c>
      <c r="L606" s="26" t="str">
        <f t="shared" si="56"/>
        <v>Jun 25</v>
      </c>
      <c r="M606" s="26" t="str">
        <f t="shared" si="57"/>
        <v>2025</v>
      </c>
      <c r="N606" s="71" t="s">
        <v>1219</v>
      </c>
      <c r="O606" s="25">
        <f t="shared" si="60"/>
        <v>45876</v>
      </c>
      <c r="P606" s="27">
        <f t="shared" si="58"/>
        <v>1</v>
      </c>
      <c r="Q606" s="27">
        <f t="shared" si="59"/>
        <v>0</v>
      </c>
      <c r="R606" s="17" t="s">
        <v>22</v>
      </c>
      <c r="S606" s="70">
        <v>7775.8</v>
      </c>
      <c r="T606" s="18" t="s">
        <v>23</v>
      </c>
      <c r="U606" s="14"/>
    </row>
    <row r="607" spans="1:21" x14ac:dyDescent="0.2">
      <c r="A607" s="17">
        <v>605</v>
      </c>
      <c r="B607" s="17" t="s">
        <v>1253</v>
      </c>
      <c r="C607" s="68" t="s">
        <v>1254</v>
      </c>
      <c r="D607" s="69" t="s">
        <v>2572</v>
      </c>
      <c r="E607" s="70">
        <v>65000</v>
      </c>
      <c r="F607" s="69" t="s">
        <v>2573</v>
      </c>
      <c r="G607" s="69" t="s">
        <v>21</v>
      </c>
      <c r="H607" s="71" t="s">
        <v>27</v>
      </c>
      <c r="I607" s="71" t="s">
        <v>28</v>
      </c>
      <c r="J607" s="72" t="s">
        <v>1175</v>
      </c>
      <c r="K607" s="25">
        <f t="shared" si="55"/>
        <v>45856</v>
      </c>
      <c r="L607" s="26" t="str">
        <f t="shared" si="56"/>
        <v>Jul 25</v>
      </c>
      <c r="M607" s="26" t="str">
        <f t="shared" si="57"/>
        <v>2025</v>
      </c>
      <c r="N607" s="71" t="s">
        <v>1322</v>
      </c>
      <c r="O607" s="25">
        <f t="shared" si="60"/>
        <v>45905</v>
      </c>
      <c r="P607" s="27">
        <f t="shared" si="58"/>
        <v>1</v>
      </c>
      <c r="Q607" s="27">
        <f t="shared" si="59"/>
        <v>0</v>
      </c>
      <c r="R607" s="17" t="s">
        <v>22</v>
      </c>
      <c r="S607" s="70">
        <v>19840</v>
      </c>
      <c r="T607" s="18" t="s">
        <v>23</v>
      </c>
      <c r="U607" s="14"/>
    </row>
    <row r="608" spans="1:21" x14ac:dyDescent="0.2">
      <c r="A608" s="17">
        <v>606</v>
      </c>
      <c r="B608" s="17" t="s">
        <v>2574</v>
      </c>
      <c r="C608" s="68" t="s">
        <v>2575</v>
      </c>
      <c r="D608" s="69" t="s">
        <v>2576</v>
      </c>
      <c r="E608" s="70">
        <v>45000</v>
      </c>
      <c r="F608" s="69" t="s">
        <v>2577</v>
      </c>
      <c r="G608" s="69" t="s">
        <v>21</v>
      </c>
      <c r="H608" s="71">
        <v>45658</v>
      </c>
      <c r="I608" s="71">
        <v>46022</v>
      </c>
      <c r="J608" s="72" t="s">
        <v>2578</v>
      </c>
      <c r="K608" s="25">
        <f t="shared" si="55"/>
        <v>45900</v>
      </c>
      <c r="L608" s="26" t="str">
        <f t="shared" si="56"/>
        <v>Aug 25</v>
      </c>
      <c r="M608" s="26" t="str">
        <f t="shared" si="57"/>
        <v>2025</v>
      </c>
      <c r="N608" s="71" t="s">
        <v>629</v>
      </c>
      <c r="O608" s="25">
        <f t="shared" si="60"/>
        <v>45911</v>
      </c>
      <c r="P608" s="27">
        <f t="shared" si="58"/>
        <v>0</v>
      </c>
      <c r="Q608" s="27">
        <f t="shared" si="59"/>
        <v>0</v>
      </c>
      <c r="R608" s="17" t="s">
        <v>22</v>
      </c>
      <c r="S608" s="70">
        <v>27000</v>
      </c>
      <c r="T608" s="18" t="s">
        <v>23</v>
      </c>
      <c r="U608" s="14"/>
    </row>
    <row r="609" spans="1:21" x14ac:dyDescent="0.2">
      <c r="A609" s="17">
        <v>607</v>
      </c>
      <c r="B609" s="17" t="s">
        <v>2579</v>
      </c>
      <c r="C609" s="68" t="s">
        <v>2580</v>
      </c>
      <c r="D609" s="69" t="s">
        <v>2581</v>
      </c>
      <c r="E609" s="70">
        <v>55000</v>
      </c>
      <c r="F609" s="69" t="s">
        <v>21</v>
      </c>
      <c r="G609" s="69" t="s">
        <v>21</v>
      </c>
      <c r="H609" s="71" t="s">
        <v>1863</v>
      </c>
      <c r="I609" s="71" t="s">
        <v>2582</v>
      </c>
      <c r="J609" s="72" t="s">
        <v>1302</v>
      </c>
      <c r="K609" s="25">
        <f t="shared" si="55"/>
        <v>45878</v>
      </c>
      <c r="L609" s="26" t="str">
        <f t="shared" si="56"/>
        <v>Aug 25</v>
      </c>
      <c r="M609" s="26" t="str">
        <f t="shared" si="57"/>
        <v>2025</v>
      </c>
      <c r="N609" s="71" t="s">
        <v>2115</v>
      </c>
      <c r="O609" s="25">
        <f t="shared" si="60"/>
        <v>45916</v>
      </c>
      <c r="P609" s="27">
        <f t="shared" si="58"/>
        <v>1</v>
      </c>
      <c r="Q609" s="27">
        <f t="shared" si="59"/>
        <v>0</v>
      </c>
      <c r="R609" s="17" t="s">
        <v>65</v>
      </c>
      <c r="S609" s="70">
        <v>17591</v>
      </c>
      <c r="T609" s="18" t="s">
        <v>23</v>
      </c>
      <c r="U609" s="14"/>
    </row>
    <row r="610" spans="1:21" x14ac:dyDescent="0.2">
      <c r="A610" s="17">
        <v>608</v>
      </c>
      <c r="B610" s="17" t="s">
        <v>2481</v>
      </c>
      <c r="C610" s="19" t="s">
        <v>2583</v>
      </c>
      <c r="D610" s="20" t="s">
        <v>2584</v>
      </c>
      <c r="E610" s="21">
        <v>650000</v>
      </c>
      <c r="F610" s="20" t="s">
        <v>21</v>
      </c>
      <c r="G610" s="20" t="s">
        <v>21</v>
      </c>
      <c r="H610" s="22">
        <v>45882</v>
      </c>
      <c r="I610" s="23">
        <v>46065</v>
      </c>
      <c r="J610" s="72">
        <v>45900</v>
      </c>
      <c r="K610" s="25">
        <f t="shared" si="55"/>
        <v>1460985</v>
      </c>
      <c r="L610" s="26" t="str">
        <f t="shared" si="56"/>
        <v>Jan 00</v>
      </c>
      <c r="M610" s="26" t="str">
        <f t="shared" si="57"/>
        <v>5900</v>
      </c>
      <c r="N610" s="71" t="s">
        <v>1469</v>
      </c>
      <c r="O610" s="25">
        <f t="shared" si="60"/>
        <v>45929</v>
      </c>
      <c r="P610" s="27" t="e">
        <f t="shared" si="58"/>
        <v>#NUM!</v>
      </c>
      <c r="Q610" s="27">
        <f t="shared" si="59"/>
        <v>-3875</v>
      </c>
      <c r="R610" s="17" t="s">
        <v>22</v>
      </c>
      <c r="S610" s="73">
        <v>10440</v>
      </c>
      <c r="T610" s="18" t="s">
        <v>23</v>
      </c>
      <c r="U610" s="14"/>
    </row>
    <row r="611" spans="1:21" x14ac:dyDescent="0.2">
      <c r="A611" s="17">
        <v>609</v>
      </c>
      <c r="B611" s="18" t="s">
        <v>2585</v>
      </c>
      <c r="C611" s="68" t="s">
        <v>2586</v>
      </c>
      <c r="D611" s="69" t="s">
        <v>2587</v>
      </c>
      <c r="E611" s="70">
        <v>110000</v>
      </c>
      <c r="F611" s="69" t="s">
        <v>21</v>
      </c>
      <c r="G611" s="69" t="s">
        <v>21</v>
      </c>
      <c r="H611" s="71" t="s">
        <v>331</v>
      </c>
      <c r="I611" s="71" t="s">
        <v>1085</v>
      </c>
      <c r="J611" s="24" t="s">
        <v>382</v>
      </c>
      <c r="K611" s="25">
        <f t="shared" si="55"/>
        <v>45932</v>
      </c>
      <c r="L611" s="26" t="str">
        <f t="shared" si="56"/>
        <v>Oct 25</v>
      </c>
      <c r="M611" s="26" t="str">
        <f t="shared" si="57"/>
        <v>2025</v>
      </c>
      <c r="N611" s="23" t="s">
        <v>1453</v>
      </c>
      <c r="O611" s="25">
        <f t="shared" si="60"/>
        <v>45940</v>
      </c>
      <c r="P611" s="27">
        <f t="shared" si="58"/>
        <v>0</v>
      </c>
      <c r="Q611" s="27">
        <f t="shared" si="59"/>
        <v>0</v>
      </c>
      <c r="R611" s="28" t="s">
        <v>2588</v>
      </c>
      <c r="S611" s="21">
        <v>35640</v>
      </c>
      <c r="T611" s="18" t="s">
        <v>23</v>
      </c>
      <c r="U611" s="14"/>
    </row>
    <row r="612" spans="1:21" x14ac:dyDescent="0.2">
      <c r="A612" s="17">
        <v>610</v>
      </c>
      <c r="B612" s="17" t="s">
        <v>2589</v>
      </c>
      <c r="C612" s="68" t="s">
        <v>2590</v>
      </c>
      <c r="D612" s="69" t="s">
        <v>2591</v>
      </c>
      <c r="E612" s="70">
        <v>80000</v>
      </c>
      <c r="F612" s="69" t="s">
        <v>2592</v>
      </c>
      <c r="G612" s="69" t="s">
        <v>21</v>
      </c>
      <c r="H612" s="71" t="s">
        <v>34</v>
      </c>
      <c r="I612" s="71" t="s">
        <v>2593</v>
      </c>
      <c r="J612" s="72" t="s">
        <v>41</v>
      </c>
      <c r="K612" s="25">
        <f t="shared" si="55"/>
        <v>45981</v>
      </c>
      <c r="L612" s="26" t="str">
        <f t="shared" si="56"/>
        <v>Nov 25</v>
      </c>
      <c r="M612" s="26" t="str">
        <f t="shared" si="57"/>
        <v>2025</v>
      </c>
      <c r="N612" s="71" t="s">
        <v>41</v>
      </c>
      <c r="O612" s="25">
        <f t="shared" si="60"/>
        <v>45981</v>
      </c>
      <c r="P612" s="27">
        <f t="shared" si="58"/>
        <v>0</v>
      </c>
      <c r="Q612" s="27">
        <f t="shared" si="59"/>
        <v>0</v>
      </c>
      <c r="R612" s="17" t="s">
        <v>1501</v>
      </c>
      <c r="S612" s="70">
        <v>45579.6</v>
      </c>
      <c r="T612" s="18" t="s">
        <v>23</v>
      </c>
      <c r="U612" s="14"/>
    </row>
    <row r="613" spans="1:21" x14ac:dyDescent="0.2">
      <c r="A613" s="17">
        <v>611</v>
      </c>
      <c r="B613" s="17" t="s">
        <v>2594</v>
      </c>
      <c r="C613" s="68" t="s">
        <v>2595</v>
      </c>
      <c r="D613" s="69" t="s">
        <v>2596</v>
      </c>
      <c r="E613" s="73">
        <v>100000</v>
      </c>
      <c r="F613" s="17" t="s">
        <v>21</v>
      </c>
      <c r="G613" s="69" t="s">
        <v>2597</v>
      </c>
      <c r="H613" s="71" t="s">
        <v>2049</v>
      </c>
      <c r="I613" s="71" t="s">
        <v>2158</v>
      </c>
      <c r="J613" s="72" t="s">
        <v>1477</v>
      </c>
      <c r="K613" s="25">
        <f t="shared" si="55"/>
        <v>45943</v>
      </c>
      <c r="L613" s="26" t="str">
        <f t="shared" si="56"/>
        <v>Oct 25</v>
      </c>
      <c r="M613" s="26" t="str">
        <f t="shared" si="57"/>
        <v>2025</v>
      </c>
      <c r="N613" s="71" t="s">
        <v>1561</v>
      </c>
      <c r="O613" s="25">
        <f t="shared" si="60"/>
        <v>45968</v>
      </c>
      <c r="P613" s="27">
        <f t="shared" si="58"/>
        <v>0</v>
      </c>
      <c r="Q613" s="27">
        <f t="shared" si="59"/>
        <v>0</v>
      </c>
      <c r="R613" s="17" t="s">
        <v>22</v>
      </c>
      <c r="S613" s="70">
        <v>20656</v>
      </c>
      <c r="T613" s="18" t="s">
        <v>23</v>
      </c>
      <c r="U613" s="14"/>
    </row>
    <row r="614" spans="1:21" x14ac:dyDescent="0.2">
      <c r="A614" s="17">
        <v>612</v>
      </c>
      <c r="B614" s="17" t="s">
        <v>2598</v>
      </c>
      <c r="C614" s="19" t="s">
        <v>2599</v>
      </c>
      <c r="D614" s="20" t="s">
        <v>2600</v>
      </c>
      <c r="E614" s="21">
        <v>120000</v>
      </c>
      <c r="F614" s="20" t="s">
        <v>21</v>
      </c>
      <c r="G614" s="20" t="s">
        <v>21</v>
      </c>
      <c r="H614" s="22" t="s">
        <v>2601</v>
      </c>
      <c r="I614" s="23" t="s">
        <v>368</v>
      </c>
      <c r="J614" s="72" t="s">
        <v>1021</v>
      </c>
      <c r="K614" s="25">
        <f t="shared" si="55"/>
        <v>45952</v>
      </c>
      <c r="L614" s="26" t="str">
        <f t="shared" si="56"/>
        <v>Oct 25</v>
      </c>
      <c r="M614" s="26" t="str">
        <f t="shared" si="57"/>
        <v>2025</v>
      </c>
      <c r="N614" s="71" t="s">
        <v>606</v>
      </c>
      <c r="O614" s="25">
        <f t="shared" si="60"/>
        <v>45972</v>
      </c>
      <c r="P614" s="27">
        <f t="shared" si="58"/>
        <v>0</v>
      </c>
      <c r="Q614" s="27">
        <f t="shared" si="59"/>
        <v>0</v>
      </c>
      <c r="R614" s="17" t="s">
        <v>2352</v>
      </c>
      <c r="S614" s="73">
        <v>108000</v>
      </c>
      <c r="T614" s="18" t="s">
        <v>23</v>
      </c>
      <c r="U614" s="14"/>
    </row>
    <row r="615" spans="1:21" x14ac:dyDescent="0.2">
      <c r="A615" s="17">
        <v>613</v>
      </c>
      <c r="B615" s="18" t="s">
        <v>2602</v>
      </c>
      <c r="C615" s="75" t="s">
        <v>2603</v>
      </c>
      <c r="D615" s="76" t="s">
        <v>2604</v>
      </c>
      <c r="E615" s="77">
        <v>200000</v>
      </c>
      <c r="F615" s="76" t="s">
        <v>2605</v>
      </c>
      <c r="G615" s="76" t="s">
        <v>21</v>
      </c>
      <c r="H615" s="78" t="s">
        <v>1039</v>
      </c>
      <c r="I615" s="79" t="s">
        <v>2606</v>
      </c>
      <c r="J615" s="24" t="s">
        <v>1523</v>
      </c>
      <c r="K615" s="25">
        <f t="shared" si="55"/>
        <v>45946</v>
      </c>
      <c r="L615" s="26" t="str">
        <f t="shared" si="56"/>
        <v>Oct 25</v>
      </c>
      <c r="M615" s="26" t="str">
        <f t="shared" si="57"/>
        <v>2025</v>
      </c>
      <c r="N615" s="23" t="s">
        <v>1601</v>
      </c>
      <c r="O615" s="25">
        <f t="shared" si="60"/>
        <v>45978</v>
      </c>
      <c r="P615" s="27">
        <f t="shared" si="58"/>
        <v>1</v>
      </c>
      <c r="Q615" s="27">
        <f t="shared" si="59"/>
        <v>0</v>
      </c>
      <c r="R615" s="28" t="s">
        <v>1501</v>
      </c>
      <c r="S615" s="21">
        <v>27000</v>
      </c>
      <c r="T615" s="18" t="s">
        <v>23</v>
      </c>
      <c r="U615" s="14"/>
    </row>
    <row r="616" spans="1:21" x14ac:dyDescent="0.2">
      <c r="A616" s="17">
        <v>614</v>
      </c>
      <c r="B616" s="75" t="s">
        <v>2481</v>
      </c>
      <c r="C616" s="75" t="s">
        <v>2583</v>
      </c>
      <c r="D616" s="76" t="s">
        <v>2607</v>
      </c>
      <c r="E616" s="77">
        <v>650000</v>
      </c>
      <c r="F616" s="76" t="s">
        <v>21</v>
      </c>
      <c r="G616" s="76" t="s">
        <v>21</v>
      </c>
      <c r="H616" s="78" t="s">
        <v>2608</v>
      </c>
      <c r="I616" s="79" t="s">
        <v>288</v>
      </c>
      <c r="J616" s="80" t="s">
        <v>2609</v>
      </c>
      <c r="K616" s="25">
        <f t="shared" si="55"/>
        <v>45973</v>
      </c>
      <c r="L616" s="26" t="str">
        <f t="shared" si="56"/>
        <v>Nov 25</v>
      </c>
      <c r="M616" s="26" t="str">
        <f t="shared" si="57"/>
        <v>2025</v>
      </c>
      <c r="N616" s="79" t="s">
        <v>1626</v>
      </c>
      <c r="O616" s="25">
        <f t="shared" si="60"/>
        <v>45985</v>
      </c>
      <c r="P616" s="27">
        <f t="shared" si="58"/>
        <v>0</v>
      </c>
      <c r="Q616" s="27">
        <f t="shared" si="59"/>
        <v>0</v>
      </c>
      <c r="R616" s="81" t="s">
        <v>22</v>
      </c>
      <c r="S616" s="77">
        <v>15138</v>
      </c>
      <c r="T616" s="18" t="s">
        <v>23</v>
      </c>
      <c r="U616" s="14"/>
    </row>
    <row r="617" spans="1:21" x14ac:dyDescent="0.2">
      <c r="A617" s="17">
        <v>615</v>
      </c>
      <c r="B617" s="75" t="s">
        <v>2610</v>
      </c>
      <c r="C617" s="75" t="s">
        <v>2611</v>
      </c>
      <c r="D617" s="76" t="s">
        <v>2612</v>
      </c>
      <c r="E617" s="77">
        <v>40000</v>
      </c>
      <c r="F617" s="76" t="s">
        <v>2613</v>
      </c>
      <c r="G617" s="76" t="s">
        <v>21</v>
      </c>
      <c r="H617" s="78" t="s">
        <v>27</v>
      </c>
      <c r="I617" s="79" t="s">
        <v>28</v>
      </c>
      <c r="J617" s="80" t="s">
        <v>1571</v>
      </c>
      <c r="K617" s="25">
        <f t="shared" si="55"/>
        <v>45965</v>
      </c>
      <c r="L617" s="26" t="str">
        <f t="shared" si="56"/>
        <v>Nov 25</v>
      </c>
      <c r="M617" s="26" t="str">
        <f t="shared" si="57"/>
        <v>2025</v>
      </c>
      <c r="N617" s="79" t="s">
        <v>665</v>
      </c>
      <c r="O617" s="25">
        <f t="shared" si="60"/>
        <v>45986</v>
      </c>
      <c r="P617" s="27">
        <f t="shared" si="58"/>
        <v>0</v>
      </c>
      <c r="Q617" s="27">
        <f t="shared" si="59"/>
        <v>0</v>
      </c>
      <c r="R617" s="81" t="s">
        <v>65</v>
      </c>
      <c r="S617" s="77">
        <v>7134</v>
      </c>
      <c r="T617" s="18" t="s">
        <v>23</v>
      </c>
      <c r="U617" s="14"/>
    </row>
    <row r="618" spans="1:21" x14ac:dyDescent="0.2">
      <c r="A618" s="17">
        <v>616</v>
      </c>
      <c r="B618" s="75" t="s">
        <v>2614</v>
      </c>
      <c r="C618" s="75" t="s">
        <v>2615</v>
      </c>
      <c r="D618" s="76" t="s">
        <v>2616</v>
      </c>
      <c r="E618" s="77">
        <v>140000</v>
      </c>
      <c r="F618" s="76" t="s">
        <v>21</v>
      </c>
      <c r="G618" s="76" t="s">
        <v>21</v>
      </c>
      <c r="H618" s="78" t="s">
        <v>809</v>
      </c>
      <c r="I618" s="79" t="s">
        <v>1238</v>
      </c>
      <c r="J618" s="80" t="s">
        <v>1518</v>
      </c>
      <c r="K618" s="25">
        <f t="shared" si="55"/>
        <v>45941</v>
      </c>
      <c r="L618" s="26" t="str">
        <f t="shared" si="56"/>
        <v>Oct 25</v>
      </c>
      <c r="M618" s="26" t="str">
        <f t="shared" si="57"/>
        <v>2025</v>
      </c>
      <c r="N618" s="79" t="s">
        <v>665</v>
      </c>
      <c r="O618" s="25">
        <f t="shared" si="60"/>
        <v>45986</v>
      </c>
      <c r="P618" s="27">
        <f t="shared" si="58"/>
        <v>1</v>
      </c>
      <c r="Q618" s="27">
        <f t="shared" si="59"/>
        <v>0</v>
      </c>
      <c r="R618" s="81" t="s">
        <v>2617</v>
      </c>
      <c r="S618" s="77">
        <v>126000</v>
      </c>
      <c r="T618" s="18" t="s">
        <v>23</v>
      </c>
      <c r="U618" s="14"/>
    </row>
    <row r="619" spans="1:21" x14ac:dyDescent="0.2">
      <c r="A619" s="17">
        <v>617</v>
      </c>
      <c r="B619" s="75" t="s">
        <v>2618</v>
      </c>
      <c r="C619" s="75" t="s">
        <v>2619</v>
      </c>
      <c r="D619" s="76" t="s">
        <v>2620</v>
      </c>
      <c r="E619" s="77">
        <v>80000</v>
      </c>
      <c r="F619" s="76" t="s">
        <v>2621</v>
      </c>
      <c r="G619" s="76" t="s">
        <v>21</v>
      </c>
      <c r="H619" s="78" t="s">
        <v>448</v>
      </c>
      <c r="I619" s="79" t="s">
        <v>2198</v>
      </c>
      <c r="J619" s="80" t="s">
        <v>1030</v>
      </c>
      <c r="K619" s="25">
        <f t="shared" si="55"/>
        <v>45988</v>
      </c>
      <c r="L619" s="26" t="str">
        <f t="shared" si="56"/>
        <v>Nov 25</v>
      </c>
      <c r="M619" s="26" t="str">
        <f t="shared" si="57"/>
        <v>2025</v>
      </c>
      <c r="N619" s="79" t="s">
        <v>2557</v>
      </c>
      <c r="O619" s="25">
        <f t="shared" si="60"/>
        <v>46006</v>
      </c>
      <c r="P619" s="27">
        <f t="shared" si="58"/>
        <v>0</v>
      </c>
      <c r="Q619" s="27">
        <f t="shared" si="59"/>
        <v>0</v>
      </c>
      <c r="R619" s="81" t="s">
        <v>2622</v>
      </c>
      <c r="S619" s="77">
        <v>30642.21</v>
      </c>
      <c r="T619" s="18" t="s">
        <v>23</v>
      </c>
      <c r="U619" s="14"/>
    </row>
    <row r="620" spans="1:21" x14ac:dyDescent="0.2">
      <c r="A620" s="17">
        <v>618</v>
      </c>
      <c r="B620" s="75" t="s">
        <v>2623</v>
      </c>
      <c r="C620" s="75" t="s">
        <v>2624</v>
      </c>
      <c r="D620" s="76" t="s">
        <v>2625</v>
      </c>
      <c r="E620" s="77">
        <v>593180</v>
      </c>
      <c r="F620" s="76" t="s">
        <v>21</v>
      </c>
      <c r="G620" s="76" t="s">
        <v>21</v>
      </c>
      <c r="H620" s="78" t="s">
        <v>110</v>
      </c>
      <c r="I620" s="79" t="s">
        <v>111</v>
      </c>
      <c r="J620" s="80" t="s">
        <v>151</v>
      </c>
      <c r="K620" s="25">
        <f t="shared" si="55"/>
        <v>45862</v>
      </c>
      <c r="L620" s="26" t="str">
        <f t="shared" si="56"/>
        <v>Jul 25</v>
      </c>
      <c r="M620" s="26" t="str">
        <f t="shared" si="57"/>
        <v>2025</v>
      </c>
      <c r="N620" s="79" t="s">
        <v>1368</v>
      </c>
      <c r="O620" s="25">
        <f t="shared" si="60"/>
        <v>45917</v>
      </c>
      <c r="P620" s="27">
        <f t="shared" si="58"/>
        <v>1</v>
      </c>
      <c r="Q620" s="27">
        <f t="shared" si="59"/>
        <v>0</v>
      </c>
      <c r="R620" s="81" t="s">
        <v>22</v>
      </c>
      <c r="S620" s="77">
        <v>489000</v>
      </c>
      <c r="T620" s="18" t="s">
        <v>23</v>
      </c>
      <c r="U620" s="14"/>
    </row>
    <row r="621" spans="1:21" x14ac:dyDescent="0.2">
      <c r="A621" s="17">
        <v>619</v>
      </c>
      <c r="B621" s="75" t="s">
        <v>2626</v>
      </c>
      <c r="C621" s="82" t="s">
        <v>2627</v>
      </c>
      <c r="D621" s="76" t="s">
        <v>2628</v>
      </c>
      <c r="E621" s="77" t="s">
        <v>2629</v>
      </c>
      <c r="F621" s="76" t="s">
        <v>21</v>
      </c>
      <c r="G621" s="76" t="s">
        <v>21</v>
      </c>
      <c r="H621" s="78" t="s">
        <v>713</v>
      </c>
      <c r="I621" s="79" t="s">
        <v>2630</v>
      </c>
      <c r="J621" s="80" t="s">
        <v>948</v>
      </c>
      <c r="K621" s="25">
        <f t="shared" si="55"/>
        <v>45826</v>
      </c>
      <c r="L621" s="26" t="str">
        <f t="shared" si="56"/>
        <v>Jun 25</v>
      </c>
      <c r="M621" s="26" t="str">
        <f t="shared" si="57"/>
        <v>2025</v>
      </c>
      <c r="N621" s="79" t="s">
        <v>1458</v>
      </c>
      <c r="O621" s="25">
        <f t="shared" si="60"/>
        <v>45890</v>
      </c>
      <c r="P621" s="27">
        <f t="shared" si="58"/>
        <v>2</v>
      </c>
      <c r="Q621" s="27">
        <f t="shared" si="59"/>
        <v>0</v>
      </c>
      <c r="R621" s="81" t="s">
        <v>894</v>
      </c>
      <c r="S621" s="77">
        <v>0</v>
      </c>
      <c r="T621" s="18" t="s">
        <v>23</v>
      </c>
      <c r="U621" s="14"/>
    </row>
    <row r="622" spans="1:21" x14ac:dyDescent="0.2">
      <c r="A622" s="17">
        <v>620</v>
      </c>
      <c r="B622" s="75" t="s">
        <v>2631</v>
      </c>
      <c r="C622" s="82" t="s">
        <v>2632</v>
      </c>
      <c r="D622" s="76" t="s">
        <v>2633</v>
      </c>
      <c r="E622" s="77">
        <v>1200000</v>
      </c>
      <c r="F622" s="76" t="s">
        <v>21</v>
      </c>
      <c r="G622" s="76" t="s">
        <v>21</v>
      </c>
      <c r="H622" s="78" t="s">
        <v>257</v>
      </c>
      <c r="I622" s="79" t="s">
        <v>258</v>
      </c>
      <c r="J622" s="80" t="s">
        <v>1482</v>
      </c>
      <c r="K622" s="25">
        <f t="shared" si="55"/>
        <v>45933</v>
      </c>
      <c r="L622" s="26" t="str">
        <f t="shared" si="56"/>
        <v>Oct 25</v>
      </c>
      <c r="M622" s="26" t="str">
        <f t="shared" si="57"/>
        <v>2025</v>
      </c>
      <c r="N622" s="79" t="s">
        <v>1530</v>
      </c>
      <c r="O622" s="25">
        <f t="shared" si="60"/>
        <v>45951</v>
      </c>
      <c r="P622" s="27">
        <f t="shared" si="58"/>
        <v>0</v>
      </c>
      <c r="Q622" s="27">
        <f t="shared" si="59"/>
        <v>0</v>
      </c>
      <c r="R622" s="81" t="s">
        <v>22</v>
      </c>
      <c r="S622" s="77">
        <v>19836</v>
      </c>
      <c r="T622" s="18" t="s">
        <v>23</v>
      </c>
      <c r="U622" s="14"/>
    </row>
    <row r="623" spans="1:21" x14ac:dyDescent="0.2">
      <c r="A623" s="17">
        <v>621</v>
      </c>
      <c r="B623" s="75" t="s">
        <v>2634</v>
      </c>
      <c r="C623" s="82" t="s">
        <v>2635</v>
      </c>
      <c r="D623" s="76" t="s">
        <v>2636</v>
      </c>
      <c r="E623" s="77">
        <v>100000</v>
      </c>
      <c r="F623" s="76" t="s">
        <v>21</v>
      </c>
      <c r="G623" s="76" t="s">
        <v>21</v>
      </c>
      <c r="H623" s="78" t="s">
        <v>2637</v>
      </c>
      <c r="I623" s="79" t="s">
        <v>270</v>
      </c>
      <c r="J623" s="80" t="s">
        <v>1402</v>
      </c>
      <c r="K623" s="25">
        <f t="shared" si="55"/>
        <v>45638</v>
      </c>
      <c r="L623" s="26" t="str">
        <f t="shared" si="56"/>
        <v>Dec 24</v>
      </c>
      <c r="M623" s="26" t="str">
        <f t="shared" si="57"/>
        <v>2024</v>
      </c>
      <c r="N623" s="79" t="s">
        <v>120</v>
      </c>
      <c r="O623" s="25">
        <f t="shared" si="60"/>
        <v>45660</v>
      </c>
      <c r="P623" s="27">
        <f t="shared" si="58"/>
        <v>0</v>
      </c>
      <c r="Q623" s="27">
        <f t="shared" si="59"/>
        <v>1</v>
      </c>
      <c r="R623" s="81" t="s">
        <v>22</v>
      </c>
      <c r="S623" s="77">
        <v>7830</v>
      </c>
      <c r="T623" s="18" t="s">
        <v>23</v>
      </c>
      <c r="U623" s="14"/>
    </row>
    <row r="624" spans="1:21" x14ac:dyDescent="0.2">
      <c r="A624" s="17">
        <v>622</v>
      </c>
      <c r="B624" s="75" t="s">
        <v>2638</v>
      </c>
      <c r="C624" s="82" t="s">
        <v>880</v>
      </c>
      <c r="D624" s="76" t="s">
        <v>2639</v>
      </c>
      <c r="E624" s="77">
        <v>80000</v>
      </c>
      <c r="F624" s="76" t="s">
        <v>21</v>
      </c>
      <c r="G624" s="76" t="s">
        <v>21</v>
      </c>
      <c r="H624" s="78" t="s">
        <v>140</v>
      </c>
      <c r="I624" s="79" t="s">
        <v>141</v>
      </c>
      <c r="J624" s="80" t="s">
        <v>704</v>
      </c>
      <c r="K624" s="25">
        <f t="shared" si="55"/>
        <v>45783</v>
      </c>
      <c r="L624" s="26" t="str">
        <f t="shared" si="56"/>
        <v>May 25</v>
      </c>
      <c r="M624" s="26" t="str">
        <f t="shared" si="57"/>
        <v>2025</v>
      </c>
      <c r="N624" s="79" t="s">
        <v>813</v>
      </c>
      <c r="O624" s="25">
        <f t="shared" si="60"/>
        <v>45805</v>
      </c>
      <c r="P624" s="27">
        <f t="shared" si="58"/>
        <v>0</v>
      </c>
      <c r="Q624" s="27">
        <f t="shared" si="59"/>
        <v>0</v>
      </c>
      <c r="R624" s="81" t="s">
        <v>22</v>
      </c>
      <c r="S624" s="77">
        <v>5940</v>
      </c>
      <c r="T624" s="18" t="s">
        <v>23</v>
      </c>
      <c r="U624" s="14"/>
    </row>
    <row r="625" spans="1:21" x14ac:dyDescent="0.2">
      <c r="A625" s="17">
        <v>623</v>
      </c>
      <c r="B625" s="75" t="s">
        <v>2640</v>
      </c>
      <c r="C625" s="82" t="s">
        <v>2641</v>
      </c>
      <c r="D625" s="76" t="s">
        <v>2642</v>
      </c>
      <c r="E625" s="77">
        <v>250000</v>
      </c>
      <c r="F625" s="76" t="s">
        <v>21</v>
      </c>
      <c r="G625" s="76" t="s">
        <v>21</v>
      </c>
      <c r="H625" s="78" t="s">
        <v>339</v>
      </c>
      <c r="I625" s="79" t="s">
        <v>61</v>
      </c>
      <c r="J625" s="80" t="s">
        <v>595</v>
      </c>
      <c r="K625" s="25">
        <f t="shared" si="55"/>
        <v>45690</v>
      </c>
      <c r="L625" s="26" t="str">
        <f t="shared" si="56"/>
        <v>Feb 25</v>
      </c>
      <c r="M625" s="26" t="str">
        <f t="shared" si="57"/>
        <v>2025</v>
      </c>
      <c r="N625" s="79" t="s">
        <v>1039</v>
      </c>
      <c r="O625" s="25">
        <f t="shared" si="60"/>
        <v>45832</v>
      </c>
      <c r="P625" s="27">
        <f t="shared" si="58"/>
        <v>4</v>
      </c>
      <c r="Q625" s="27">
        <f t="shared" si="59"/>
        <v>0</v>
      </c>
      <c r="R625" s="81" t="s">
        <v>92</v>
      </c>
      <c r="S625" s="77">
        <v>200000</v>
      </c>
      <c r="T625" s="18" t="s">
        <v>23</v>
      </c>
      <c r="U625" s="14"/>
    </row>
    <row r="626" spans="1:21" x14ac:dyDescent="0.2">
      <c r="A626" s="17">
        <v>624</v>
      </c>
      <c r="B626" s="75" t="s">
        <v>2643</v>
      </c>
      <c r="C626" s="82" t="s">
        <v>2644</v>
      </c>
      <c r="D626" s="76" t="s">
        <v>2645</v>
      </c>
      <c r="E626" s="77">
        <v>50000</v>
      </c>
      <c r="F626" s="76" t="s">
        <v>21</v>
      </c>
      <c r="G626" s="76" t="s">
        <v>21</v>
      </c>
      <c r="H626" s="78" t="s">
        <v>110</v>
      </c>
      <c r="I626" s="79" t="s">
        <v>118</v>
      </c>
      <c r="J626" s="80" t="s">
        <v>865</v>
      </c>
      <c r="K626" s="25">
        <f t="shared" si="55"/>
        <v>45843</v>
      </c>
      <c r="L626" s="26" t="str">
        <f t="shared" si="56"/>
        <v>Jul 25</v>
      </c>
      <c r="M626" s="26" t="str">
        <f t="shared" si="57"/>
        <v>2025</v>
      </c>
      <c r="N626" s="79" t="s">
        <v>54</v>
      </c>
      <c r="O626" s="25">
        <f t="shared" si="60"/>
        <v>45896</v>
      </c>
      <c r="P626" s="27">
        <f t="shared" si="58"/>
        <v>1</v>
      </c>
      <c r="Q626" s="27">
        <f t="shared" si="59"/>
        <v>0</v>
      </c>
      <c r="R626" s="81" t="s">
        <v>22</v>
      </c>
      <c r="S626" s="77">
        <v>23823</v>
      </c>
      <c r="T626" s="18" t="s">
        <v>23</v>
      </c>
      <c r="U626" s="14"/>
    </row>
    <row r="627" spans="1:21" x14ac:dyDescent="0.2">
      <c r="A627" s="17">
        <v>625</v>
      </c>
      <c r="B627" s="75" t="s">
        <v>2646</v>
      </c>
      <c r="C627" s="82" t="s">
        <v>2647</v>
      </c>
      <c r="D627" s="76" t="s">
        <v>2648</v>
      </c>
      <c r="E627" s="77">
        <v>60000</v>
      </c>
      <c r="F627" s="76" t="s">
        <v>21</v>
      </c>
      <c r="G627" s="76" t="s">
        <v>21</v>
      </c>
      <c r="H627" s="78" t="s">
        <v>394</v>
      </c>
      <c r="I627" s="79" t="s">
        <v>2466</v>
      </c>
      <c r="J627" s="80" t="s">
        <v>70</v>
      </c>
      <c r="K627" s="25">
        <f t="shared" si="55"/>
        <v>45897</v>
      </c>
      <c r="L627" s="26" t="str">
        <f t="shared" si="56"/>
        <v>Aug 25</v>
      </c>
      <c r="M627" s="26" t="str">
        <f t="shared" si="57"/>
        <v>2025</v>
      </c>
      <c r="N627" s="79" t="s">
        <v>1272</v>
      </c>
      <c r="O627" s="25">
        <f t="shared" si="60"/>
        <v>45904</v>
      </c>
      <c r="P627" s="27">
        <f t="shared" si="58"/>
        <v>0</v>
      </c>
      <c r="Q627" s="27">
        <f t="shared" si="59"/>
        <v>0</v>
      </c>
      <c r="R627" s="81" t="s">
        <v>22</v>
      </c>
      <c r="S627" s="77">
        <v>11070</v>
      </c>
      <c r="T627" s="18" t="s">
        <v>23</v>
      </c>
      <c r="U627" s="14"/>
    </row>
    <row r="628" spans="1:21" x14ac:dyDescent="0.2">
      <c r="A628" s="17">
        <v>626</v>
      </c>
      <c r="B628" s="75" t="s">
        <v>2649</v>
      </c>
      <c r="C628" s="82" t="s">
        <v>2650</v>
      </c>
      <c r="D628" s="76" t="s">
        <v>2651</v>
      </c>
      <c r="E628" s="77">
        <v>115000</v>
      </c>
      <c r="F628" s="76" t="s">
        <v>21</v>
      </c>
      <c r="G628" s="76" t="s">
        <v>21</v>
      </c>
      <c r="H628" s="78" t="s">
        <v>2652</v>
      </c>
      <c r="I628" s="79" t="s">
        <v>35</v>
      </c>
      <c r="J628" s="80" t="s">
        <v>47</v>
      </c>
      <c r="K628" s="25">
        <f t="shared" si="55"/>
        <v>45922</v>
      </c>
      <c r="L628" s="26" t="str">
        <f t="shared" si="56"/>
        <v>Sep 25</v>
      </c>
      <c r="M628" s="26" t="str">
        <f t="shared" si="57"/>
        <v>2025</v>
      </c>
      <c r="N628" s="79" t="s">
        <v>85</v>
      </c>
      <c r="O628" s="25">
        <f t="shared" si="60"/>
        <v>45939</v>
      </c>
      <c r="P628" s="27">
        <f t="shared" si="58"/>
        <v>0</v>
      </c>
      <c r="Q628" s="27">
        <f t="shared" si="59"/>
        <v>0</v>
      </c>
      <c r="R628" s="81" t="s">
        <v>22</v>
      </c>
      <c r="S628" s="77">
        <v>2745</v>
      </c>
      <c r="T628" s="18" t="s">
        <v>23</v>
      </c>
      <c r="U628" s="14"/>
    </row>
    <row r="629" spans="1:21" x14ac:dyDescent="0.2">
      <c r="A629" s="17">
        <v>627</v>
      </c>
      <c r="B629" s="75" t="s">
        <v>625</v>
      </c>
      <c r="C629" s="82" t="s">
        <v>2653</v>
      </c>
      <c r="D629" s="76" t="s">
        <v>2654</v>
      </c>
      <c r="E629" s="77">
        <v>300000</v>
      </c>
      <c r="F629" s="76" t="s">
        <v>21</v>
      </c>
      <c r="G629" s="76" t="s">
        <v>21</v>
      </c>
      <c r="H629" s="78" t="s">
        <v>861</v>
      </c>
      <c r="I629" s="79" t="s">
        <v>2655</v>
      </c>
      <c r="J629" s="80" t="s">
        <v>2578</v>
      </c>
      <c r="K629" s="25">
        <f t="shared" si="55"/>
        <v>45900</v>
      </c>
      <c r="L629" s="26" t="str">
        <f t="shared" si="56"/>
        <v>Aug 25</v>
      </c>
      <c r="M629" s="26" t="str">
        <f t="shared" si="57"/>
        <v>2025</v>
      </c>
      <c r="N629" s="79" t="s">
        <v>1482</v>
      </c>
      <c r="O629" s="25">
        <f t="shared" si="60"/>
        <v>45933</v>
      </c>
      <c r="P629" s="27">
        <f t="shared" si="58"/>
        <v>1</v>
      </c>
      <c r="Q629" s="27">
        <f t="shared" si="59"/>
        <v>0</v>
      </c>
      <c r="R629" s="81" t="s">
        <v>22</v>
      </c>
      <c r="S629" s="77">
        <v>29700</v>
      </c>
      <c r="T629" s="18" t="s">
        <v>23</v>
      </c>
      <c r="U629" s="14"/>
    </row>
    <row r="630" spans="1:21" x14ac:dyDescent="0.2">
      <c r="A630" s="17">
        <v>628</v>
      </c>
      <c r="B630" s="75" t="s">
        <v>2656</v>
      </c>
      <c r="C630" s="82" t="s">
        <v>2657</v>
      </c>
      <c r="D630" s="76" t="s">
        <v>2658</v>
      </c>
      <c r="E630" s="77">
        <v>30000</v>
      </c>
      <c r="F630" s="76" t="s">
        <v>21</v>
      </c>
      <c r="G630" s="76" t="s">
        <v>21</v>
      </c>
      <c r="H630" s="78">
        <v>45867</v>
      </c>
      <c r="I630" s="79">
        <v>46231</v>
      </c>
      <c r="J630" s="80">
        <v>45948</v>
      </c>
      <c r="K630" s="25">
        <f t="shared" si="55"/>
        <v>1479977</v>
      </c>
      <c r="L630" s="26" t="str">
        <f t="shared" si="56"/>
        <v>Jan 52</v>
      </c>
      <c r="M630" s="26" t="str">
        <f t="shared" si="57"/>
        <v>5952</v>
      </c>
      <c r="N630" s="79">
        <v>45951</v>
      </c>
      <c r="O630" s="25">
        <f t="shared" si="60"/>
        <v>1481163</v>
      </c>
      <c r="P630" s="27">
        <f t="shared" si="58"/>
        <v>39</v>
      </c>
      <c r="Q630" s="27">
        <f t="shared" si="59"/>
        <v>3</v>
      </c>
      <c r="R630" s="81" t="s">
        <v>2659</v>
      </c>
      <c r="S630" s="77">
        <v>3600</v>
      </c>
      <c r="T630" s="18" t="s">
        <v>23</v>
      </c>
      <c r="U630" s="14"/>
    </row>
    <row r="631" spans="1:21" x14ac:dyDescent="0.2">
      <c r="A631" s="17">
        <v>629</v>
      </c>
      <c r="B631" s="75" t="s">
        <v>2660</v>
      </c>
      <c r="C631" s="82" t="s">
        <v>2661</v>
      </c>
      <c r="D631" s="76" t="s">
        <v>2662</v>
      </c>
      <c r="E631" s="77">
        <v>50000</v>
      </c>
      <c r="F631" s="76" t="s">
        <v>21</v>
      </c>
      <c r="G631" s="76" t="s">
        <v>21</v>
      </c>
      <c r="H631" s="78" t="s">
        <v>118</v>
      </c>
      <c r="I631" s="79" t="s">
        <v>76</v>
      </c>
      <c r="J631" s="80" t="s">
        <v>2663</v>
      </c>
      <c r="K631" s="25">
        <f t="shared" si="55"/>
        <v>45997</v>
      </c>
      <c r="L631" s="26" t="str">
        <f t="shared" si="56"/>
        <v>Dec 25</v>
      </c>
      <c r="M631" s="26" t="str">
        <f t="shared" si="57"/>
        <v>2025</v>
      </c>
      <c r="N631" s="79" t="s">
        <v>49</v>
      </c>
      <c r="O631" s="25">
        <f t="shared" si="60"/>
        <v>46000</v>
      </c>
      <c r="P631" s="27">
        <f t="shared" si="58"/>
        <v>0</v>
      </c>
      <c r="Q631" s="27">
        <f t="shared" si="59"/>
        <v>0</v>
      </c>
      <c r="R631" s="81" t="s">
        <v>22</v>
      </c>
      <c r="S631" s="77">
        <v>2150</v>
      </c>
      <c r="T631" s="18" t="s">
        <v>23</v>
      </c>
      <c r="U631" s="14"/>
    </row>
    <row r="632" spans="1:21" x14ac:dyDescent="0.2">
      <c r="A632" s="17">
        <v>630</v>
      </c>
      <c r="B632" s="75" t="s">
        <v>2664</v>
      </c>
      <c r="C632" s="82" t="s">
        <v>2665</v>
      </c>
      <c r="D632" s="76" t="s">
        <v>2666</v>
      </c>
      <c r="E632" s="77">
        <v>70000</v>
      </c>
      <c r="F632" s="76" t="s">
        <v>21</v>
      </c>
      <c r="G632" s="76" t="s">
        <v>21</v>
      </c>
      <c r="H632" s="78" t="s">
        <v>140</v>
      </c>
      <c r="I632" s="79" t="s">
        <v>141</v>
      </c>
      <c r="J632" s="80" t="s">
        <v>1537</v>
      </c>
      <c r="K632" s="25">
        <f t="shared" si="55"/>
        <v>45959</v>
      </c>
      <c r="L632" s="26" t="str">
        <f t="shared" si="56"/>
        <v>Oct 25</v>
      </c>
      <c r="M632" s="26" t="str">
        <f t="shared" si="57"/>
        <v>2025</v>
      </c>
      <c r="N632" s="79" t="s">
        <v>2667</v>
      </c>
      <c r="O632" s="25">
        <f t="shared" si="60"/>
        <v>45974</v>
      </c>
      <c r="P632" s="27">
        <f t="shared" si="58"/>
        <v>0</v>
      </c>
      <c r="Q632" s="27">
        <f t="shared" si="59"/>
        <v>0</v>
      </c>
      <c r="R632" s="81" t="s">
        <v>1558</v>
      </c>
      <c r="S632" s="77">
        <v>2900</v>
      </c>
      <c r="T632" s="18" t="s">
        <v>23</v>
      </c>
      <c r="U632" s="14"/>
    </row>
    <row r="633" spans="1:21" x14ac:dyDescent="0.2">
      <c r="A633" s="17">
        <v>631</v>
      </c>
      <c r="B633" s="75" t="s">
        <v>2668</v>
      </c>
      <c r="C633" s="82" t="s">
        <v>2669</v>
      </c>
      <c r="D633" s="76" t="s">
        <v>2670</v>
      </c>
      <c r="E633" s="77">
        <v>80000</v>
      </c>
      <c r="F633" s="76" t="s">
        <v>21</v>
      </c>
      <c r="G633" s="76" t="s">
        <v>21</v>
      </c>
      <c r="H633" s="78">
        <v>45748</v>
      </c>
      <c r="I633" s="79">
        <v>45747</v>
      </c>
      <c r="J633" s="80">
        <v>45929</v>
      </c>
      <c r="K633" s="25">
        <f t="shared" si="55"/>
        <v>1472458</v>
      </c>
      <c r="L633" s="26" t="str">
        <f t="shared" si="56"/>
        <v>Jun 31</v>
      </c>
      <c r="M633" s="26" t="str">
        <f t="shared" si="57"/>
        <v>5931</v>
      </c>
      <c r="N633" s="79">
        <v>45933</v>
      </c>
      <c r="O633" s="25">
        <f t="shared" si="60"/>
        <v>1474042</v>
      </c>
      <c r="P633" s="27">
        <f t="shared" si="58"/>
        <v>52</v>
      </c>
      <c r="Q633" s="27">
        <f t="shared" si="59"/>
        <v>4</v>
      </c>
      <c r="R633" s="81" t="s">
        <v>22</v>
      </c>
      <c r="S633" s="77">
        <v>27000</v>
      </c>
      <c r="T633" s="18" t="s">
        <v>23</v>
      </c>
      <c r="U633" s="14"/>
    </row>
    <row r="634" spans="1:21" x14ac:dyDescent="0.2">
      <c r="A634" s="17">
        <v>632</v>
      </c>
      <c r="B634" s="75" t="s">
        <v>2671</v>
      </c>
      <c r="C634" s="82" t="s">
        <v>2672</v>
      </c>
      <c r="D634" s="76" t="s">
        <v>2673</v>
      </c>
      <c r="E634" s="77">
        <v>1300000</v>
      </c>
      <c r="F634" s="76" t="s">
        <v>21</v>
      </c>
      <c r="G634" s="76" t="s">
        <v>21</v>
      </c>
      <c r="H634" s="78" t="s">
        <v>2039</v>
      </c>
      <c r="I634" s="79">
        <v>11.102024</v>
      </c>
      <c r="J634" s="80" t="s">
        <v>2674</v>
      </c>
      <c r="K634" s="25">
        <f t="shared" si="55"/>
        <v>45621</v>
      </c>
      <c r="L634" s="26" t="str">
        <f t="shared" si="56"/>
        <v>Nov 24</v>
      </c>
      <c r="M634" s="26" t="str">
        <f t="shared" si="57"/>
        <v>2024</v>
      </c>
      <c r="N634" s="79" t="s">
        <v>134</v>
      </c>
      <c r="O634" s="25">
        <f t="shared" si="60"/>
        <v>45643</v>
      </c>
      <c r="P634" s="27">
        <f t="shared" si="58"/>
        <v>0</v>
      </c>
      <c r="Q634" s="27">
        <f t="shared" si="59"/>
        <v>0</v>
      </c>
      <c r="R634" s="81" t="s">
        <v>22</v>
      </c>
      <c r="S634" s="77">
        <v>4410</v>
      </c>
      <c r="T634" s="18" t="s">
        <v>23</v>
      </c>
      <c r="U634" s="14"/>
    </row>
    <row r="635" spans="1:21" x14ac:dyDescent="0.2">
      <c r="A635" s="17">
        <v>633</v>
      </c>
      <c r="B635" s="75" t="s">
        <v>2675</v>
      </c>
      <c r="C635" s="83" t="s">
        <v>2676</v>
      </c>
      <c r="D635" s="84" t="s">
        <v>2677</v>
      </c>
      <c r="E635" s="85">
        <v>270000</v>
      </c>
      <c r="F635" s="84" t="s">
        <v>21</v>
      </c>
      <c r="G635" s="84" t="s">
        <v>21</v>
      </c>
      <c r="H635" s="86" t="s">
        <v>2678</v>
      </c>
      <c r="I635" s="87" t="s">
        <v>1184</v>
      </c>
      <c r="J635" s="80" t="s">
        <v>383</v>
      </c>
      <c r="K635" s="25">
        <f t="shared" si="55"/>
        <v>45699</v>
      </c>
      <c r="L635" s="26" t="str">
        <f t="shared" si="56"/>
        <v>Feb 25</v>
      </c>
      <c r="M635" s="26" t="str">
        <f t="shared" si="57"/>
        <v>2025</v>
      </c>
      <c r="N635" s="79" t="s">
        <v>341</v>
      </c>
      <c r="O635" s="25">
        <f t="shared" si="60"/>
        <v>45707</v>
      </c>
      <c r="P635" s="27">
        <f t="shared" si="58"/>
        <v>0</v>
      </c>
      <c r="Q635" s="27">
        <f t="shared" si="59"/>
        <v>0</v>
      </c>
      <c r="R635" s="81" t="s">
        <v>22</v>
      </c>
      <c r="S635" s="77">
        <v>4590</v>
      </c>
      <c r="T635" s="18" t="s">
        <v>23</v>
      </c>
      <c r="U635" s="14"/>
    </row>
    <row r="636" spans="1:21" x14ac:dyDescent="0.2">
      <c r="A636" s="17">
        <v>634</v>
      </c>
      <c r="B636" s="88" t="s">
        <v>2679</v>
      </c>
      <c r="C636" s="75" t="s">
        <v>2680</v>
      </c>
      <c r="D636" s="76" t="s">
        <v>2681</v>
      </c>
      <c r="E636" s="77">
        <v>180000</v>
      </c>
      <c r="F636" s="76" t="s">
        <v>21</v>
      </c>
      <c r="G636" s="76" t="s">
        <v>21</v>
      </c>
      <c r="H636" s="78" t="s">
        <v>2682</v>
      </c>
      <c r="I636" s="79" t="s">
        <v>2683</v>
      </c>
      <c r="J636" s="89" t="s">
        <v>127</v>
      </c>
      <c r="K636" s="25">
        <f t="shared" si="55"/>
        <v>45645</v>
      </c>
      <c r="L636" s="26" t="str">
        <f t="shared" si="56"/>
        <v>Dec 24</v>
      </c>
      <c r="M636" s="26" t="str">
        <f t="shared" si="57"/>
        <v>2024</v>
      </c>
      <c r="N636" s="87" t="s">
        <v>120</v>
      </c>
      <c r="O636" s="25">
        <f t="shared" si="60"/>
        <v>45660</v>
      </c>
      <c r="P636" s="27">
        <f t="shared" si="58"/>
        <v>0</v>
      </c>
      <c r="Q636" s="27">
        <f t="shared" si="59"/>
        <v>1</v>
      </c>
      <c r="R636" s="90" t="s">
        <v>22</v>
      </c>
      <c r="S636" s="85">
        <v>117000</v>
      </c>
      <c r="T636" s="18" t="s">
        <v>23</v>
      </c>
      <c r="U636" s="14"/>
    </row>
    <row r="637" spans="1:21" x14ac:dyDescent="0.2">
      <c r="A637" s="17">
        <v>635</v>
      </c>
      <c r="B637" s="75" t="s">
        <v>2684</v>
      </c>
      <c r="C637" s="82" t="s">
        <v>2685</v>
      </c>
      <c r="D637" s="76" t="s">
        <v>2686</v>
      </c>
      <c r="E637" s="77">
        <v>100000</v>
      </c>
      <c r="F637" s="76" t="s">
        <v>2687</v>
      </c>
      <c r="G637" s="76" t="s">
        <v>21</v>
      </c>
      <c r="H637" s="78" t="s">
        <v>2688</v>
      </c>
      <c r="I637" s="79" t="s">
        <v>802</v>
      </c>
      <c r="J637" s="80" t="s">
        <v>482</v>
      </c>
      <c r="K637" s="25">
        <f t="shared" si="55"/>
        <v>45733</v>
      </c>
      <c r="L637" s="26" t="str">
        <f t="shared" si="56"/>
        <v>Mar 25</v>
      </c>
      <c r="M637" s="26" t="str">
        <f t="shared" si="57"/>
        <v>2025</v>
      </c>
      <c r="N637" s="79" t="s">
        <v>719</v>
      </c>
      <c r="O637" s="25">
        <f t="shared" si="60"/>
        <v>45758</v>
      </c>
      <c r="P637" s="27">
        <f t="shared" si="58"/>
        <v>0</v>
      </c>
      <c r="Q637" s="27">
        <f t="shared" si="59"/>
        <v>0</v>
      </c>
      <c r="R637" s="81" t="s">
        <v>22</v>
      </c>
      <c r="S637" s="77">
        <v>117000</v>
      </c>
      <c r="T637" s="18" t="s">
        <v>23</v>
      </c>
      <c r="U637" s="14"/>
    </row>
    <row r="638" spans="1:21" x14ac:dyDescent="0.2">
      <c r="A638" s="17">
        <v>636</v>
      </c>
      <c r="B638" s="75" t="s">
        <v>2689</v>
      </c>
      <c r="C638" s="82" t="s">
        <v>2690</v>
      </c>
      <c r="D638" s="76" t="s">
        <v>2691</v>
      </c>
      <c r="E638" s="77">
        <v>1000000</v>
      </c>
      <c r="F638" s="76" t="s">
        <v>21</v>
      </c>
      <c r="G638" s="76" t="s">
        <v>21</v>
      </c>
      <c r="H638" s="78" t="s">
        <v>2692</v>
      </c>
      <c r="I638" s="79" t="s">
        <v>791</v>
      </c>
      <c r="J638" s="80" t="s">
        <v>1114</v>
      </c>
      <c r="K638" s="25">
        <f t="shared" si="55"/>
        <v>45868</v>
      </c>
      <c r="L638" s="26" t="str">
        <f t="shared" si="56"/>
        <v>Jul 25</v>
      </c>
      <c r="M638" s="26" t="str">
        <f t="shared" si="57"/>
        <v>2025</v>
      </c>
      <c r="N638" s="79" t="s">
        <v>1190</v>
      </c>
      <c r="O638" s="25">
        <f t="shared" si="60"/>
        <v>45882</v>
      </c>
      <c r="P638" s="27">
        <f t="shared" si="58"/>
        <v>0</v>
      </c>
      <c r="Q638" s="27">
        <f t="shared" si="59"/>
        <v>0</v>
      </c>
      <c r="R638" s="81" t="s">
        <v>1017</v>
      </c>
      <c r="S638" s="77">
        <v>882000</v>
      </c>
      <c r="T638" s="18" t="s">
        <v>23</v>
      </c>
      <c r="U638" s="14"/>
    </row>
    <row r="639" spans="1:21" x14ac:dyDescent="0.2">
      <c r="A639" s="17">
        <v>637</v>
      </c>
      <c r="B639" s="75" t="s">
        <v>2693</v>
      </c>
      <c r="C639" s="82" t="s">
        <v>2694</v>
      </c>
      <c r="D639" s="76" t="s">
        <v>2695</v>
      </c>
      <c r="E639" s="77">
        <v>170000</v>
      </c>
      <c r="F639" s="76" t="s">
        <v>21</v>
      </c>
      <c r="G639" s="76" t="s">
        <v>21</v>
      </c>
      <c r="H639" s="78" t="s">
        <v>653</v>
      </c>
      <c r="I639" s="79" t="s">
        <v>2696</v>
      </c>
      <c r="J639" s="80" t="s">
        <v>2578</v>
      </c>
      <c r="K639" s="25">
        <f t="shared" si="55"/>
        <v>45900</v>
      </c>
      <c r="L639" s="26" t="str">
        <f t="shared" si="56"/>
        <v>Aug 25</v>
      </c>
      <c r="M639" s="26" t="str">
        <f t="shared" si="57"/>
        <v>2025</v>
      </c>
      <c r="N639" s="79" t="s">
        <v>1374</v>
      </c>
      <c r="O639" s="25">
        <f t="shared" si="60"/>
        <v>45919</v>
      </c>
      <c r="P639" s="27">
        <f t="shared" si="58"/>
        <v>0</v>
      </c>
      <c r="Q639" s="27">
        <f t="shared" si="59"/>
        <v>0</v>
      </c>
      <c r="R639" s="81" t="s">
        <v>37</v>
      </c>
      <c r="S639" s="77">
        <v>36090</v>
      </c>
      <c r="T639" s="18" t="s">
        <v>23</v>
      </c>
      <c r="U639" s="14"/>
    </row>
    <row r="640" spans="1:21" x14ac:dyDescent="0.2">
      <c r="A640" s="17">
        <v>638</v>
      </c>
      <c r="B640" s="75" t="s">
        <v>2697</v>
      </c>
      <c r="C640" s="82" t="s">
        <v>2698</v>
      </c>
      <c r="D640" s="76" t="s">
        <v>2699</v>
      </c>
      <c r="E640" s="77">
        <v>60000</v>
      </c>
      <c r="F640" s="76" t="s">
        <v>21</v>
      </c>
      <c r="G640" s="76" t="s">
        <v>21</v>
      </c>
      <c r="H640" s="78" t="s">
        <v>2339</v>
      </c>
      <c r="I640" s="79" t="s">
        <v>2700</v>
      </c>
      <c r="J640" s="80" t="s">
        <v>1453</v>
      </c>
      <c r="K640" s="25">
        <f t="shared" si="55"/>
        <v>45940</v>
      </c>
      <c r="L640" s="26" t="str">
        <f t="shared" si="56"/>
        <v>Oct 25</v>
      </c>
      <c r="M640" s="26" t="str">
        <f t="shared" si="57"/>
        <v>2025</v>
      </c>
      <c r="N640" s="79" t="s">
        <v>1575</v>
      </c>
      <c r="O640" s="25">
        <f t="shared" si="60"/>
        <v>45957</v>
      </c>
      <c r="P640" s="27">
        <f t="shared" si="58"/>
        <v>0</v>
      </c>
      <c r="Q640" s="27">
        <f t="shared" si="59"/>
        <v>0</v>
      </c>
      <c r="R640" s="81" t="s">
        <v>22</v>
      </c>
      <c r="S640" s="77">
        <v>18000</v>
      </c>
      <c r="T640" s="18" t="s">
        <v>23</v>
      </c>
      <c r="U640" s="14"/>
    </row>
    <row r="641" spans="1:21" x14ac:dyDescent="0.2">
      <c r="A641" s="17">
        <v>639</v>
      </c>
      <c r="B641" s="75" t="s">
        <v>2701</v>
      </c>
      <c r="C641" s="82" t="s">
        <v>2702</v>
      </c>
      <c r="D641" s="76" t="s">
        <v>2703</v>
      </c>
      <c r="E641" s="77">
        <v>110000</v>
      </c>
      <c r="F641" s="76" t="s">
        <v>21</v>
      </c>
      <c r="G641" s="76" t="s">
        <v>21</v>
      </c>
      <c r="H641" s="78" t="s">
        <v>2704</v>
      </c>
      <c r="I641" s="79" t="s">
        <v>1601</v>
      </c>
      <c r="J641" s="80" t="s">
        <v>1609</v>
      </c>
      <c r="K641" s="25">
        <f t="shared" si="55"/>
        <v>45975</v>
      </c>
      <c r="L641" s="26" t="str">
        <f t="shared" si="56"/>
        <v>Nov 25</v>
      </c>
      <c r="M641" s="26" t="str">
        <f t="shared" si="57"/>
        <v>2025</v>
      </c>
      <c r="N641" s="79" t="s">
        <v>1609</v>
      </c>
      <c r="O641" s="25">
        <f t="shared" si="60"/>
        <v>45975</v>
      </c>
      <c r="P641" s="27">
        <f t="shared" si="58"/>
        <v>0</v>
      </c>
      <c r="Q641" s="27">
        <f t="shared" si="59"/>
        <v>0</v>
      </c>
      <c r="R641" s="81" t="s">
        <v>22</v>
      </c>
      <c r="S641" s="77">
        <v>2610</v>
      </c>
      <c r="T641" s="18" t="s">
        <v>23</v>
      </c>
      <c r="U641" s="14"/>
    </row>
    <row r="642" spans="1:21" x14ac:dyDescent="0.2">
      <c r="A642" s="17">
        <v>640</v>
      </c>
      <c r="B642" s="75" t="s">
        <v>2705</v>
      </c>
      <c r="C642" s="82" t="s">
        <v>2706</v>
      </c>
      <c r="D642" s="76" t="s">
        <v>2707</v>
      </c>
      <c r="E642" s="77">
        <v>65000</v>
      </c>
      <c r="F642" s="76" t="s">
        <v>21</v>
      </c>
      <c r="G642" s="76" t="s">
        <v>21</v>
      </c>
      <c r="H642" s="78" t="s">
        <v>2708</v>
      </c>
      <c r="I642" s="79" t="s">
        <v>2708</v>
      </c>
      <c r="J642" s="80" t="s">
        <v>1378</v>
      </c>
      <c r="K642" s="25">
        <f t="shared" si="55"/>
        <v>45923</v>
      </c>
      <c r="L642" s="26" t="str">
        <f t="shared" si="56"/>
        <v>Sep 25</v>
      </c>
      <c r="M642" s="26" t="str">
        <f t="shared" si="57"/>
        <v>2025</v>
      </c>
      <c r="N642" s="79" t="s">
        <v>1486</v>
      </c>
      <c r="O642" s="25">
        <f t="shared" si="60"/>
        <v>45944</v>
      </c>
      <c r="P642" s="27">
        <f t="shared" si="58"/>
        <v>0</v>
      </c>
      <c r="Q642" s="27">
        <f t="shared" si="59"/>
        <v>0</v>
      </c>
      <c r="R642" s="81" t="s">
        <v>22</v>
      </c>
      <c r="S642" s="77">
        <v>4725</v>
      </c>
      <c r="T642" s="18" t="s">
        <v>23</v>
      </c>
      <c r="U642" s="14"/>
    </row>
    <row r="643" spans="1:21" x14ac:dyDescent="0.2">
      <c r="A643" s="17">
        <v>641</v>
      </c>
      <c r="B643" s="75" t="s">
        <v>2709</v>
      </c>
      <c r="C643" s="82" t="s">
        <v>2710</v>
      </c>
      <c r="D643" s="76" t="s">
        <v>2711</v>
      </c>
      <c r="E643" s="77"/>
      <c r="F643" s="76" t="s">
        <v>21</v>
      </c>
      <c r="G643" s="76" t="s">
        <v>21</v>
      </c>
      <c r="H643" s="78" t="s">
        <v>2712</v>
      </c>
      <c r="I643" s="79" t="s">
        <v>177</v>
      </c>
      <c r="J643" s="80" t="s">
        <v>1152</v>
      </c>
      <c r="K643" s="25">
        <f t="shared" si="55"/>
        <v>45627</v>
      </c>
      <c r="L643" s="26" t="str">
        <f t="shared" si="56"/>
        <v>Dec 24</v>
      </c>
      <c r="M643" s="26" t="str">
        <f t="shared" si="57"/>
        <v>2024</v>
      </c>
      <c r="N643" s="79" t="s">
        <v>120</v>
      </c>
      <c r="O643" s="25">
        <f t="shared" si="60"/>
        <v>45660</v>
      </c>
      <c r="P643" s="27">
        <f t="shared" si="58"/>
        <v>1</v>
      </c>
      <c r="Q643" s="27">
        <f t="shared" si="59"/>
        <v>1</v>
      </c>
      <c r="R643" s="81" t="s">
        <v>22</v>
      </c>
      <c r="S643" s="77">
        <v>15075</v>
      </c>
      <c r="T643" s="18" t="s">
        <v>23</v>
      </c>
      <c r="U643" s="14"/>
    </row>
    <row r="644" spans="1:21" x14ac:dyDescent="0.2">
      <c r="A644" s="17">
        <v>642</v>
      </c>
      <c r="B644" s="75" t="s">
        <v>2713</v>
      </c>
      <c r="C644" s="82" t="s">
        <v>2714</v>
      </c>
      <c r="D644" s="76" t="s">
        <v>2715</v>
      </c>
      <c r="E644" s="77">
        <v>130000</v>
      </c>
      <c r="F644" s="76" t="s">
        <v>21</v>
      </c>
      <c r="G644" s="76" t="s">
        <v>21</v>
      </c>
      <c r="H644" s="78" t="s">
        <v>2716</v>
      </c>
      <c r="I644" s="79" t="s">
        <v>152</v>
      </c>
      <c r="J644" s="80" t="s">
        <v>282</v>
      </c>
      <c r="K644" s="25">
        <f t="shared" ref="K644:K653" si="61">DATE(RIGHT(J644,4),MID(J644,4,2),LEFT(J644,2))</f>
        <v>45623</v>
      </c>
      <c r="L644" s="26" t="str">
        <f t="shared" ref="L644:L653" si="62">TEXT(K644,"MMM YY")</f>
        <v>Nov 24</v>
      </c>
      <c r="M644" s="26" t="str">
        <f t="shared" ref="M644:M653" si="63">TEXT(K644,"yyyy")</f>
        <v>2024</v>
      </c>
      <c r="N644" s="79" t="s">
        <v>120</v>
      </c>
      <c r="O644" s="25">
        <f t="shared" si="60"/>
        <v>45660</v>
      </c>
      <c r="P644" s="27">
        <f t="shared" ref="P644:P653" si="64">DATEDIF(K644,O644,"M")</f>
        <v>1</v>
      </c>
      <c r="Q644" s="27">
        <f t="shared" ref="Q644:Q653" si="65">YEAR(O644)-YEAR(K644)</f>
        <v>1</v>
      </c>
      <c r="R644" s="81" t="s">
        <v>22</v>
      </c>
      <c r="S644" s="77">
        <v>117000</v>
      </c>
      <c r="T644" s="18" t="s">
        <v>23</v>
      </c>
      <c r="U644" s="14"/>
    </row>
    <row r="645" spans="1:21" x14ac:dyDescent="0.2">
      <c r="A645" s="17">
        <v>643</v>
      </c>
      <c r="B645" s="75" t="s">
        <v>2717</v>
      </c>
      <c r="C645" s="82" t="s">
        <v>2718</v>
      </c>
      <c r="D645" s="76" t="s">
        <v>2719</v>
      </c>
      <c r="E645" s="77">
        <v>170000</v>
      </c>
      <c r="F645" s="76" t="s">
        <v>2720</v>
      </c>
      <c r="G645" s="76" t="s">
        <v>21</v>
      </c>
      <c r="H645" s="78" t="s">
        <v>2721</v>
      </c>
      <c r="I645" s="79">
        <v>6062025</v>
      </c>
      <c r="J645" s="80" t="s">
        <v>2225</v>
      </c>
      <c r="K645" s="25">
        <f t="shared" si="61"/>
        <v>45650</v>
      </c>
      <c r="L645" s="26" t="str">
        <f t="shared" si="62"/>
        <v>Dec 24</v>
      </c>
      <c r="M645" s="26" t="str">
        <f t="shared" si="63"/>
        <v>2024</v>
      </c>
      <c r="N645" s="79" t="s">
        <v>203</v>
      </c>
      <c r="O645" s="25">
        <f t="shared" si="60"/>
        <v>45674</v>
      </c>
      <c r="P645" s="27">
        <f t="shared" si="64"/>
        <v>0</v>
      </c>
      <c r="Q645" s="27">
        <f t="shared" si="65"/>
        <v>1</v>
      </c>
      <c r="R645" s="81" t="s">
        <v>22</v>
      </c>
      <c r="S645" s="77">
        <v>4500</v>
      </c>
      <c r="T645" s="18" t="s">
        <v>23</v>
      </c>
      <c r="U645" s="14"/>
    </row>
    <row r="646" spans="1:21" x14ac:dyDescent="0.2">
      <c r="A646" s="17">
        <v>644</v>
      </c>
      <c r="B646" s="75" t="s">
        <v>2722</v>
      </c>
      <c r="C646" s="82" t="s">
        <v>2723</v>
      </c>
      <c r="D646" s="76" t="s">
        <v>2724</v>
      </c>
      <c r="E646" s="77">
        <v>90000</v>
      </c>
      <c r="F646" s="76" t="s">
        <v>21</v>
      </c>
      <c r="G646" s="76" t="s">
        <v>21</v>
      </c>
      <c r="H646" s="78">
        <v>45688</v>
      </c>
      <c r="I646" s="79">
        <v>46052</v>
      </c>
      <c r="J646" s="80">
        <v>45997</v>
      </c>
      <c r="K646" s="25">
        <f t="shared" si="61"/>
        <v>1499367</v>
      </c>
      <c r="L646" s="26" t="str">
        <f t="shared" si="62"/>
        <v>Feb 05</v>
      </c>
      <c r="M646" s="26" t="str">
        <f t="shared" si="63"/>
        <v>6005</v>
      </c>
      <c r="N646" s="79">
        <v>46006</v>
      </c>
      <c r="O646" s="25">
        <f t="shared" si="60"/>
        <v>1499884</v>
      </c>
      <c r="P646" s="27">
        <f t="shared" si="64"/>
        <v>17</v>
      </c>
      <c r="Q646" s="27">
        <f t="shared" si="65"/>
        <v>1</v>
      </c>
      <c r="R646" s="81" t="s">
        <v>2725</v>
      </c>
      <c r="S646" s="77">
        <v>21780</v>
      </c>
      <c r="T646" s="18" t="s">
        <v>23</v>
      </c>
      <c r="U646" s="14"/>
    </row>
    <row r="647" spans="1:21" x14ac:dyDescent="0.2">
      <c r="A647" s="17">
        <v>645</v>
      </c>
      <c r="B647" s="75" t="s">
        <v>2726</v>
      </c>
      <c r="C647" s="82" t="s">
        <v>2727</v>
      </c>
      <c r="D647" s="76" t="s">
        <v>2728</v>
      </c>
      <c r="E647" s="77">
        <v>70000</v>
      </c>
      <c r="F647" s="76" t="s">
        <v>21</v>
      </c>
      <c r="G647" s="76" t="s">
        <v>21</v>
      </c>
      <c r="H647" s="78" t="s">
        <v>1490</v>
      </c>
      <c r="I647" s="79" t="s">
        <v>1530</v>
      </c>
      <c r="J647" s="80" t="s">
        <v>516</v>
      </c>
      <c r="K647" s="25">
        <f t="shared" si="61"/>
        <v>45672</v>
      </c>
      <c r="L647" s="26" t="str">
        <f t="shared" si="62"/>
        <v>Jan 25</v>
      </c>
      <c r="M647" s="26" t="str">
        <f t="shared" si="63"/>
        <v>2025</v>
      </c>
      <c r="N647" s="79" t="s">
        <v>394</v>
      </c>
      <c r="O647" s="25">
        <f t="shared" si="60"/>
        <v>45693</v>
      </c>
      <c r="P647" s="27">
        <f t="shared" si="64"/>
        <v>0</v>
      </c>
      <c r="Q647" s="27">
        <f t="shared" si="65"/>
        <v>0</v>
      </c>
      <c r="R647" s="81" t="s">
        <v>22</v>
      </c>
      <c r="S647" s="77">
        <v>4500</v>
      </c>
      <c r="T647" s="18" t="s">
        <v>23</v>
      </c>
      <c r="U647" s="14"/>
    </row>
    <row r="648" spans="1:21" x14ac:dyDescent="0.2">
      <c r="A648" s="17">
        <v>646</v>
      </c>
      <c r="B648" s="75" t="s">
        <v>2729</v>
      </c>
      <c r="C648" s="82" t="s">
        <v>2730</v>
      </c>
      <c r="D648" s="76" t="s">
        <v>2731</v>
      </c>
      <c r="E648" s="77" t="s">
        <v>374</v>
      </c>
      <c r="F648" s="76" t="s">
        <v>2732</v>
      </c>
      <c r="G648" s="76" t="s">
        <v>21</v>
      </c>
      <c r="H648" s="78" t="s">
        <v>157</v>
      </c>
      <c r="I648" s="79" t="s">
        <v>502</v>
      </c>
      <c r="J648" s="80" t="s">
        <v>304</v>
      </c>
      <c r="K648" s="25">
        <f t="shared" si="61"/>
        <v>45685</v>
      </c>
      <c r="L648" s="26" t="str">
        <f t="shared" si="62"/>
        <v>Jan 25</v>
      </c>
      <c r="M648" s="26" t="str">
        <f t="shared" si="63"/>
        <v>2025</v>
      </c>
      <c r="N648" s="79" t="s">
        <v>1871</v>
      </c>
      <c r="O648" s="25">
        <f t="shared" si="60"/>
        <v>45697</v>
      </c>
      <c r="P648" s="27">
        <f t="shared" si="64"/>
        <v>0</v>
      </c>
      <c r="Q648" s="27">
        <f t="shared" si="65"/>
        <v>0</v>
      </c>
      <c r="R648" s="81" t="s">
        <v>22</v>
      </c>
      <c r="S648" s="77">
        <v>15040</v>
      </c>
      <c r="T648" s="18" t="s">
        <v>23</v>
      </c>
      <c r="U648" s="14"/>
    </row>
    <row r="649" spans="1:21" x14ac:dyDescent="0.2">
      <c r="A649" s="17">
        <v>647</v>
      </c>
      <c r="B649" s="75" t="s">
        <v>2733</v>
      </c>
      <c r="C649" s="82" t="s">
        <v>2734</v>
      </c>
      <c r="D649" s="76" t="s">
        <v>2735</v>
      </c>
      <c r="E649" s="77">
        <v>25000</v>
      </c>
      <c r="F649" s="76" t="s">
        <v>21</v>
      </c>
      <c r="G649" s="76" t="s">
        <v>21</v>
      </c>
      <c r="H649" s="78" t="s">
        <v>229</v>
      </c>
      <c r="I649" s="79" t="s">
        <v>135</v>
      </c>
      <c r="J649" s="80" t="s">
        <v>852</v>
      </c>
      <c r="K649" s="25">
        <f t="shared" si="61"/>
        <v>45804</v>
      </c>
      <c r="L649" s="26" t="str">
        <f t="shared" si="62"/>
        <v>May 25</v>
      </c>
      <c r="M649" s="26" t="str">
        <f t="shared" si="63"/>
        <v>2025</v>
      </c>
      <c r="N649" s="79" t="s">
        <v>27</v>
      </c>
      <c r="O649" s="25">
        <f t="shared" si="60"/>
        <v>45839</v>
      </c>
      <c r="P649" s="27">
        <f t="shared" si="64"/>
        <v>1</v>
      </c>
      <c r="Q649" s="27">
        <f t="shared" si="65"/>
        <v>0</v>
      </c>
      <c r="R649" s="81" t="s">
        <v>22</v>
      </c>
      <c r="S649" s="77">
        <v>12500</v>
      </c>
      <c r="T649" s="18" t="s">
        <v>23</v>
      </c>
      <c r="U649" s="14"/>
    </row>
    <row r="650" spans="1:21" x14ac:dyDescent="0.2">
      <c r="A650" s="17">
        <v>648</v>
      </c>
      <c r="B650" s="75" t="s">
        <v>2736</v>
      </c>
      <c r="C650" s="82" t="s">
        <v>2737</v>
      </c>
      <c r="D650" s="76" t="s">
        <v>2738</v>
      </c>
      <c r="E650" s="77">
        <v>100000</v>
      </c>
      <c r="F650" s="76" t="s">
        <v>21</v>
      </c>
      <c r="G650" s="76" t="s">
        <v>21</v>
      </c>
      <c r="H650" s="78" t="s">
        <v>647</v>
      </c>
      <c r="I650" s="79" t="s">
        <v>953</v>
      </c>
      <c r="J650" s="80" t="s">
        <v>389</v>
      </c>
      <c r="K650" s="25">
        <f t="shared" si="61"/>
        <v>45892</v>
      </c>
      <c r="L650" s="26" t="str">
        <f t="shared" si="62"/>
        <v>Aug 25</v>
      </c>
      <c r="M650" s="26" t="str">
        <f t="shared" si="63"/>
        <v>2025</v>
      </c>
      <c r="N650" s="79" t="s">
        <v>1294</v>
      </c>
      <c r="O650" s="25">
        <f t="shared" si="60"/>
        <v>45898</v>
      </c>
      <c r="P650" s="27">
        <f t="shared" si="64"/>
        <v>0</v>
      </c>
      <c r="Q650" s="27">
        <f t="shared" si="65"/>
        <v>0</v>
      </c>
      <c r="R650" s="81" t="s">
        <v>22</v>
      </c>
      <c r="S650" s="77">
        <v>4050</v>
      </c>
      <c r="T650" s="18" t="s">
        <v>23</v>
      </c>
      <c r="U650" s="14"/>
    </row>
    <row r="651" spans="1:21" x14ac:dyDescent="0.2">
      <c r="A651" s="17">
        <v>649</v>
      </c>
      <c r="B651" s="75" t="s">
        <v>2739</v>
      </c>
      <c r="C651" s="82" t="s">
        <v>2740</v>
      </c>
      <c r="D651" s="76" t="s">
        <v>2741</v>
      </c>
      <c r="E651" s="77">
        <v>100000</v>
      </c>
      <c r="F651" s="76" t="s">
        <v>21</v>
      </c>
      <c r="G651" s="76" t="s">
        <v>21</v>
      </c>
      <c r="H651" s="78" t="s">
        <v>2742</v>
      </c>
      <c r="I651" s="79" t="s">
        <v>54</v>
      </c>
      <c r="J651" s="80" t="s">
        <v>464</v>
      </c>
      <c r="K651" s="25">
        <f t="shared" si="61"/>
        <v>45841</v>
      </c>
      <c r="L651" s="26" t="str">
        <f t="shared" si="62"/>
        <v>Jul 25</v>
      </c>
      <c r="M651" s="26" t="str">
        <f t="shared" si="63"/>
        <v>2025</v>
      </c>
      <c r="N651" s="79" t="s">
        <v>54</v>
      </c>
      <c r="O651" s="25">
        <f t="shared" si="60"/>
        <v>45896</v>
      </c>
      <c r="P651" s="27">
        <f t="shared" si="64"/>
        <v>1</v>
      </c>
      <c r="Q651" s="27">
        <f t="shared" si="65"/>
        <v>0</v>
      </c>
      <c r="R651" s="81" t="s">
        <v>2743</v>
      </c>
      <c r="S651" s="77">
        <v>90000</v>
      </c>
      <c r="T651" s="18" t="s">
        <v>23</v>
      </c>
      <c r="U651" s="14"/>
    </row>
    <row r="652" spans="1:21" x14ac:dyDescent="0.2">
      <c r="A652" s="17">
        <v>650</v>
      </c>
      <c r="B652" s="75" t="s">
        <v>2744</v>
      </c>
      <c r="C652" s="82" t="s">
        <v>2745</v>
      </c>
      <c r="D652" s="76" t="s">
        <v>2746</v>
      </c>
      <c r="E652" s="77">
        <v>260000</v>
      </c>
      <c r="F652" s="76" t="s">
        <v>21</v>
      </c>
      <c r="G652" s="76" t="s">
        <v>21</v>
      </c>
      <c r="H652" s="78" t="s">
        <v>870</v>
      </c>
      <c r="I652" s="79" t="s">
        <v>2747</v>
      </c>
      <c r="J652" s="80" t="s">
        <v>926</v>
      </c>
      <c r="K652" s="25">
        <f t="shared" si="61"/>
        <v>45828</v>
      </c>
      <c r="L652" s="26" t="str">
        <f t="shared" si="62"/>
        <v>Jun 25</v>
      </c>
      <c r="M652" s="26" t="str">
        <f t="shared" si="63"/>
        <v>2025</v>
      </c>
      <c r="N652" s="79" t="s">
        <v>1017</v>
      </c>
      <c r="O652" s="25">
        <f t="shared" si="60"/>
        <v>45901</v>
      </c>
      <c r="P652" s="27">
        <f t="shared" si="64"/>
        <v>2</v>
      </c>
      <c r="Q652" s="27">
        <f t="shared" si="65"/>
        <v>0</v>
      </c>
      <c r="R652" s="81" t="s">
        <v>92</v>
      </c>
      <c r="S652" s="77">
        <v>152000</v>
      </c>
      <c r="T652" s="18" t="s">
        <v>23</v>
      </c>
      <c r="U652" s="14"/>
    </row>
    <row r="653" spans="1:21" x14ac:dyDescent="0.2">
      <c r="A653" s="17">
        <v>651</v>
      </c>
      <c r="B653" s="75" t="s">
        <v>2748</v>
      </c>
      <c r="C653" s="82" t="s">
        <v>2749</v>
      </c>
      <c r="D653" s="76" t="s">
        <v>2750</v>
      </c>
      <c r="E653" s="77">
        <v>200000</v>
      </c>
      <c r="F653" s="76" t="s">
        <v>21</v>
      </c>
      <c r="G653" s="76" t="s">
        <v>21</v>
      </c>
      <c r="H653" s="78" t="s">
        <v>453</v>
      </c>
      <c r="I653" s="79" t="s">
        <v>891</v>
      </c>
      <c r="J653" s="80" t="s">
        <v>211</v>
      </c>
      <c r="K653" s="25">
        <f t="shared" si="61"/>
        <v>45976</v>
      </c>
      <c r="L653" s="26" t="str">
        <f t="shared" si="62"/>
        <v>Nov 25</v>
      </c>
      <c r="M653" s="26" t="str">
        <f t="shared" si="63"/>
        <v>2025</v>
      </c>
      <c r="N653" s="79" t="s">
        <v>1626</v>
      </c>
      <c r="O653" s="25">
        <f t="shared" si="60"/>
        <v>45985</v>
      </c>
      <c r="P653" s="27">
        <f t="shared" si="64"/>
        <v>0</v>
      </c>
      <c r="Q653" s="27">
        <f t="shared" si="65"/>
        <v>0</v>
      </c>
      <c r="R653" s="81" t="s">
        <v>2237</v>
      </c>
      <c r="S653" s="77">
        <v>76932</v>
      </c>
      <c r="T653" s="18" t="s">
        <v>23</v>
      </c>
      <c r="U653" s="14"/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Lenon Watambwa</dc:creator>
  <cp:lastModifiedBy>Lenon Watambwa</cp:lastModifiedBy>
  <dcterms:created xsi:type="dcterms:W3CDTF">2026-03-20T08:40:02Z</dcterms:created>
  <dcterms:modified xsi:type="dcterms:W3CDTF">2026-03-20T08:41:07Z</dcterms:modified>
</cp:coreProperties>
</file>